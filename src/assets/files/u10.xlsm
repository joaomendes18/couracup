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4" codeName="{3D1A710C-6663-3D7B-7F91-EC182F24A4BC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inetpub\wwwroot\assets\files\"/>
    </mc:Choice>
  </mc:AlternateContent>
  <xr:revisionPtr revIDLastSave="0" documentId="13_ncr:1_{9489DAC8-311D-45E8-8A35-C74297FA4827}" xr6:coauthVersionLast="36" xr6:coauthVersionMax="36" xr10:uidLastSave="{00000000-0000-0000-0000-000000000000}"/>
  <bookViews>
    <workbookView xWindow="0" yWindow="0" windowWidth="28800" windowHeight="12225" xr2:uid="{00000000-000D-0000-FFFF-FFFF00000000}"/>
  </bookViews>
  <sheets>
    <sheet name="Resultados" sheetId="5" r:id="rId1"/>
    <sheet name="U10_A" sheetId="2" r:id="rId2"/>
    <sheet name="U10_B" sheetId="3" r:id="rId3"/>
    <sheet name="U10_C" sheetId="4" r:id="rId4"/>
    <sheet name="final" sheetId="6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6" i="2" l="1"/>
  <c r="V6" i="2"/>
  <c r="X6" i="2" s="1"/>
  <c r="W5" i="2"/>
  <c r="V5" i="2"/>
  <c r="X5" i="2" s="1"/>
  <c r="J3" i="3" l="1"/>
  <c r="H8" i="6" l="1"/>
  <c r="B8" i="6"/>
  <c r="H7" i="6"/>
  <c r="B7" i="6"/>
  <c r="H6" i="6"/>
  <c r="B6" i="6"/>
  <c r="H5" i="6"/>
  <c r="B5" i="6"/>
  <c r="H4" i="6"/>
  <c r="B4" i="6"/>
  <c r="H3" i="6"/>
  <c r="B3" i="6"/>
  <c r="H2" i="6"/>
  <c r="B2" i="6"/>
  <c r="H1" i="6"/>
  <c r="B1" i="6"/>
  <c r="H33" i="5" l="1"/>
  <c r="B33" i="5"/>
  <c r="H32" i="5"/>
  <c r="B32" i="5"/>
  <c r="H31" i="5"/>
  <c r="B31" i="5"/>
  <c r="H30" i="5"/>
  <c r="B30" i="5"/>
  <c r="H29" i="5"/>
  <c r="B29" i="5"/>
  <c r="H28" i="5"/>
  <c r="B28" i="5"/>
  <c r="H27" i="5"/>
  <c r="B27" i="5"/>
  <c r="H26" i="5"/>
  <c r="B26" i="5"/>
  <c r="H25" i="5"/>
  <c r="B25" i="5"/>
  <c r="H24" i="5"/>
  <c r="B24" i="5"/>
  <c r="H23" i="5"/>
  <c r="B23" i="5"/>
  <c r="H22" i="5"/>
  <c r="B22" i="5"/>
  <c r="H21" i="5"/>
  <c r="B21" i="5"/>
  <c r="H20" i="5"/>
  <c r="B20" i="5"/>
  <c r="H19" i="5"/>
  <c r="B19" i="5"/>
  <c r="H18" i="5"/>
  <c r="B18" i="5"/>
  <c r="H17" i="5"/>
  <c r="B17" i="5"/>
  <c r="H16" i="5"/>
  <c r="B16" i="5"/>
  <c r="H15" i="5"/>
  <c r="B15" i="5"/>
  <c r="H14" i="5"/>
  <c r="B14" i="5"/>
  <c r="H13" i="5"/>
  <c r="B13" i="5"/>
  <c r="H12" i="5"/>
  <c r="B12" i="5"/>
  <c r="H11" i="5"/>
  <c r="B11" i="5"/>
  <c r="H10" i="5"/>
  <c r="B10" i="5"/>
  <c r="H9" i="5"/>
  <c r="B9" i="5"/>
  <c r="H8" i="5"/>
  <c r="B8" i="5"/>
  <c r="H7" i="5"/>
  <c r="B7" i="5"/>
  <c r="H6" i="5"/>
  <c r="B6" i="5"/>
  <c r="H5" i="5"/>
  <c r="B5" i="5"/>
  <c r="H4" i="5"/>
  <c r="B4" i="5"/>
  <c r="H3" i="5"/>
  <c r="B3" i="5"/>
  <c r="J5" i="4"/>
  <c r="I5" i="4"/>
  <c r="J3" i="4"/>
  <c r="I3" i="4"/>
  <c r="J4" i="4"/>
  <c r="I4" i="4"/>
  <c r="J6" i="4"/>
  <c r="I6" i="4"/>
  <c r="J7" i="4"/>
  <c r="I7" i="4"/>
  <c r="J40" i="4"/>
  <c r="B40" i="4"/>
  <c r="J39" i="4"/>
  <c r="B39" i="4"/>
  <c r="J38" i="4"/>
  <c r="B38" i="4"/>
  <c r="J37" i="4"/>
  <c r="B37" i="4"/>
  <c r="J36" i="4"/>
  <c r="B36" i="4"/>
  <c r="J35" i="4"/>
  <c r="B35" i="4"/>
  <c r="J34" i="4"/>
  <c r="B34" i="4"/>
  <c r="J33" i="4"/>
  <c r="B33" i="4"/>
  <c r="J32" i="4"/>
  <c r="B32" i="4"/>
  <c r="J31" i="4"/>
  <c r="B31" i="4"/>
  <c r="J30" i="4"/>
  <c r="B30" i="4"/>
  <c r="J29" i="4"/>
  <c r="B29" i="4"/>
  <c r="J28" i="4"/>
  <c r="B28" i="4"/>
  <c r="J27" i="4"/>
  <c r="B27" i="4"/>
  <c r="J26" i="4"/>
  <c r="B26" i="4"/>
  <c r="J25" i="4"/>
  <c r="B25" i="4"/>
  <c r="J24" i="4"/>
  <c r="B24" i="4"/>
  <c r="J23" i="4"/>
  <c r="B23" i="4"/>
  <c r="J22" i="4"/>
  <c r="B22" i="4"/>
  <c r="J21" i="4"/>
  <c r="B21" i="4"/>
  <c r="J20" i="4"/>
  <c r="B20" i="4"/>
  <c r="J19" i="4"/>
  <c r="B19" i="4"/>
  <c r="J18" i="4"/>
  <c r="B18" i="4"/>
  <c r="J17" i="4"/>
  <c r="B17" i="4"/>
  <c r="J16" i="4"/>
  <c r="B16" i="4"/>
  <c r="J15" i="4"/>
  <c r="B15" i="4"/>
  <c r="J14" i="4"/>
  <c r="B14" i="4"/>
  <c r="J13" i="4"/>
  <c r="B13" i="4"/>
  <c r="J12" i="4"/>
  <c r="B12" i="4"/>
  <c r="J11" i="4"/>
  <c r="B11" i="4"/>
  <c r="J10" i="4"/>
  <c r="B10" i="4"/>
  <c r="J7" i="3"/>
  <c r="I7" i="3"/>
  <c r="J6" i="3"/>
  <c r="I6" i="3"/>
  <c r="J4" i="3"/>
  <c r="I4" i="3"/>
  <c r="I3" i="3"/>
  <c r="J5" i="3"/>
  <c r="I5" i="3"/>
  <c r="J40" i="3"/>
  <c r="B40" i="3"/>
  <c r="J39" i="3"/>
  <c r="B39" i="3"/>
  <c r="J38" i="3"/>
  <c r="B38" i="3"/>
  <c r="J37" i="3"/>
  <c r="B37" i="3"/>
  <c r="J36" i="3"/>
  <c r="B36" i="3"/>
  <c r="J35" i="3"/>
  <c r="B35" i="3"/>
  <c r="J34" i="3"/>
  <c r="B34" i="3"/>
  <c r="J33" i="3"/>
  <c r="B33" i="3"/>
  <c r="J32" i="3"/>
  <c r="B32" i="3"/>
  <c r="J31" i="3"/>
  <c r="B31" i="3"/>
  <c r="J30" i="3"/>
  <c r="B30" i="3"/>
  <c r="J29" i="3"/>
  <c r="B29" i="3"/>
  <c r="J28" i="3"/>
  <c r="B28" i="3"/>
  <c r="J27" i="3"/>
  <c r="B27" i="3"/>
  <c r="J26" i="3"/>
  <c r="B26" i="3"/>
  <c r="J25" i="3"/>
  <c r="B25" i="3"/>
  <c r="J24" i="3"/>
  <c r="B24" i="3"/>
  <c r="J23" i="3"/>
  <c r="B23" i="3"/>
  <c r="J22" i="3"/>
  <c r="B22" i="3"/>
  <c r="J21" i="3"/>
  <c r="B21" i="3"/>
  <c r="J20" i="3"/>
  <c r="B20" i="3"/>
  <c r="J19" i="3"/>
  <c r="B19" i="3"/>
  <c r="J18" i="3"/>
  <c r="B18" i="3"/>
  <c r="J17" i="3"/>
  <c r="B17" i="3"/>
  <c r="J16" i="3"/>
  <c r="B16" i="3"/>
  <c r="J15" i="3"/>
  <c r="B15" i="3"/>
  <c r="J14" i="3"/>
  <c r="B14" i="3"/>
  <c r="J13" i="3"/>
  <c r="B13" i="3"/>
  <c r="J12" i="3"/>
  <c r="B12" i="3"/>
  <c r="J11" i="3"/>
  <c r="B11" i="3"/>
  <c r="J10" i="3"/>
  <c r="B10" i="3"/>
  <c r="I3" i="2"/>
  <c r="I4" i="2"/>
  <c r="J4" i="2"/>
  <c r="J6" i="2"/>
  <c r="I6" i="2"/>
  <c r="J3" i="2"/>
  <c r="J5" i="2"/>
  <c r="I5" i="2"/>
  <c r="J7" i="2"/>
  <c r="I7" i="2"/>
  <c r="J40" i="2"/>
  <c r="B40" i="2"/>
  <c r="J39" i="2"/>
  <c r="B39" i="2"/>
  <c r="J38" i="2"/>
  <c r="B38" i="2"/>
  <c r="J37" i="2"/>
  <c r="B37" i="2"/>
  <c r="J36" i="2"/>
  <c r="B36" i="2"/>
  <c r="J35" i="2"/>
  <c r="B35" i="2"/>
  <c r="J34" i="2"/>
  <c r="B34" i="2"/>
  <c r="J33" i="2"/>
  <c r="B33" i="2"/>
  <c r="J32" i="2"/>
  <c r="B32" i="2"/>
  <c r="J31" i="2"/>
  <c r="B31" i="2"/>
  <c r="J30" i="2"/>
  <c r="B30" i="2"/>
  <c r="J29" i="2"/>
  <c r="B29" i="2"/>
  <c r="J28" i="2"/>
  <c r="B28" i="2"/>
  <c r="J27" i="2"/>
  <c r="B27" i="2"/>
  <c r="U6" i="2" s="1"/>
  <c r="J26" i="2"/>
  <c r="B26" i="2"/>
  <c r="J25" i="2"/>
  <c r="B25" i="2"/>
  <c r="J24" i="2"/>
  <c r="B24" i="2"/>
  <c r="J23" i="2"/>
  <c r="B23" i="2"/>
  <c r="J22" i="2"/>
  <c r="B22" i="2"/>
  <c r="J21" i="2"/>
  <c r="B21" i="2"/>
  <c r="J20" i="2"/>
  <c r="B20" i="2"/>
  <c r="J19" i="2"/>
  <c r="B19" i="2"/>
  <c r="J18" i="2"/>
  <c r="B18" i="2"/>
  <c r="J17" i="2"/>
  <c r="B17" i="2"/>
  <c r="J16" i="2"/>
  <c r="B16" i="2"/>
  <c r="J15" i="2"/>
  <c r="B15" i="2"/>
  <c r="J14" i="2"/>
  <c r="B14" i="2"/>
  <c r="J13" i="2"/>
  <c r="B13" i="2"/>
  <c r="J12" i="2"/>
  <c r="B12" i="2"/>
  <c r="J11" i="2"/>
  <c r="B11" i="2"/>
  <c r="J10" i="2"/>
  <c r="B10" i="2"/>
  <c r="S5" i="2" l="1"/>
  <c r="T5" i="2"/>
  <c r="U5" i="2"/>
  <c r="T6" i="2"/>
  <c r="S6" i="2"/>
  <c r="H6" i="2"/>
  <c r="H5" i="2"/>
  <c r="G3" i="2"/>
  <c r="F7" i="3"/>
  <c r="F7" i="4"/>
  <c r="F4" i="4"/>
  <c r="F4" i="3"/>
  <c r="H3" i="4"/>
  <c r="G5" i="4"/>
  <c r="H3" i="2"/>
  <c r="G6" i="2"/>
  <c r="F7" i="2"/>
  <c r="G7" i="4"/>
  <c r="D7" i="4" s="1"/>
  <c r="G7" i="3"/>
  <c r="F3" i="3"/>
  <c r="G4" i="3"/>
  <c r="H4" i="3"/>
  <c r="G6" i="3"/>
  <c r="H7" i="3"/>
  <c r="H3" i="3"/>
  <c r="G5" i="3"/>
  <c r="G4" i="2"/>
  <c r="F5" i="2"/>
  <c r="F6" i="2"/>
  <c r="F3" i="2"/>
  <c r="F4" i="2"/>
  <c r="H4" i="2"/>
  <c r="H7" i="2"/>
  <c r="F5" i="3"/>
  <c r="F6" i="3"/>
  <c r="H5" i="3"/>
  <c r="G3" i="3"/>
  <c r="H6" i="3"/>
  <c r="F6" i="4"/>
  <c r="H6" i="4"/>
  <c r="G6" i="4"/>
  <c r="G4" i="4"/>
  <c r="H4" i="4"/>
  <c r="F5" i="4"/>
  <c r="H5" i="4"/>
  <c r="H7" i="4"/>
  <c r="F3" i="4"/>
  <c r="G3" i="4"/>
  <c r="K5" i="4"/>
  <c r="K3" i="4"/>
  <c r="K4" i="4"/>
  <c r="K6" i="4"/>
  <c r="K7" i="4"/>
  <c r="K7" i="3"/>
  <c r="K6" i="3"/>
  <c r="K4" i="3"/>
  <c r="K3" i="3"/>
  <c r="K5" i="3"/>
  <c r="G7" i="2"/>
  <c r="G5" i="2"/>
  <c r="Q6" i="2" l="1"/>
  <c r="R6" i="2"/>
  <c r="Q5" i="2"/>
  <c r="R5" i="2"/>
  <c r="D7" i="3"/>
  <c r="D4" i="3"/>
  <c r="E3" i="2"/>
  <c r="D5" i="4"/>
  <c r="D3" i="3"/>
  <c r="D6" i="3"/>
  <c r="E3" i="3"/>
  <c r="E4" i="3"/>
  <c r="E7" i="4"/>
  <c r="E7" i="3"/>
  <c r="E5" i="3"/>
  <c r="E4" i="2"/>
  <c r="E6" i="3"/>
  <c r="D5" i="3"/>
  <c r="E3" i="4"/>
  <c r="E6" i="4"/>
  <c r="D6" i="4"/>
  <c r="E4" i="4"/>
  <c r="E5" i="4"/>
  <c r="D4" i="4"/>
  <c r="D3" i="4"/>
  <c r="K5" i="2" l="1"/>
  <c r="K4" i="2"/>
  <c r="K6" i="2"/>
  <c r="E5" i="2" l="1"/>
  <c r="D7" i="2"/>
  <c r="E7" i="2"/>
  <c r="D3" i="2"/>
  <c r="D4" i="2"/>
  <c r="D6" i="2"/>
  <c r="D5" i="2"/>
  <c r="E6" i="2"/>
  <c r="K3" i="2" l="1"/>
  <c r="K7" i="2"/>
</calcChain>
</file>

<file path=xl/sharedStrings.xml><?xml version="1.0" encoding="utf-8"?>
<sst xmlns="http://schemas.openxmlformats.org/spreadsheetml/2006/main" count="432" uniqueCount="32">
  <si>
    <t>S.C Courense</t>
  </si>
  <si>
    <t>FC Porto</t>
  </si>
  <si>
    <t>SC Braga</t>
  </si>
  <si>
    <t>x</t>
  </si>
  <si>
    <t>V</t>
  </si>
  <si>
    <t>E</t>
  </si>
  <si>
    <t>D</t>
  </si>
  <si>
    <t>J</t>
  </si>
  <si>
    <t>GM</t>
  </si>
  <si>
    <t>GS</t>
  </si>
  <si>
    <t>DIFG</t>
  </si>
  <si>
    <t>Pontos</t>
  </si>
  <si>
    <t>Equipa</t>
  </si>
  <si>
    <t>Grupo 1</t>
  </si>
  <si>
    <t>FC Marinhas</t>
  </si>
  <si>
    <t>Vitoria Sport Clube</t>
  </si>
  <si>
    <t>Grupo 2</t>
  </si>
  <si>
    <t xml:space="preserve">Deportivo Coruña </t>
  </si>
  <si>
    <t>Academica de Coimbra</t>
  </si>
  <si>
    <t>Grupo Desportivo de Porto D`Ave</t>
  </si>
  <si>
    <t>Varzim Sport Club</t>
  </si>
  <si>
    <t>Desportivo de Ronfe</t>
  </si>
  <si>
    <t>Escola Futebol Benfica Chafé Viana do Castelo</t>
  </si>
  <si>
    <t>Ancora Praia Fc</t>
  </si>
  <si>
    <t>Academia Sporting de Vizela</t>
  </si>
  <si>
    <t>AD Campos</t>
  </si>
  <si>
    <t>SC Castelo da Maia</t>
  </si>
  <si>
    <t>Grupo 3</t>
  </si>
  <si>
    <t>G. D. de Porto D`Ave</t>
  </si>
  <si>
    <t>E. F. Benfica Chafé V. C.</t>
  </si>
  <si>
    <t>Acad. Sporting de Vizela</t>
  </si>
  <si>
    <t>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</si>
</sst>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1"/>
      <name val="Arial"/>
      <family val="2"/>
    </font>
    <font>
      <b/>
      <sz val="10"/>
      <color rgb="FFFA7D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  <font>
      <sz val="10"/>
      <color rgb="FFFA7D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theme="8" tint="0.79998168889431442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ashed">
        <color theme="0" tint="-0.24994659260841701"/>
      </bottom>
      <diagonal/>
    </border>
    <border>
      <left style="thin">
        <color rgb="FF7F7F7F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29">
    <xf numFmtId="0" fontId="0" fillId="0" borderId="0" xfId="0"/>
    <xf numFmtId="0" fontId="2" fillId="0" borderId="2" xfId="0" applyFont="1" applyBorder="1" applyAlignment="1" applyProtection="1">
      <alignment horizontal="center" vertical="center"/>
      <protection hidden="1"/>
    </xf>
    <xf numFmtId="0" fontId="3" fillId="0" borderId="1" xfId="1" applyFont="1" applyFill="1" applyAlignment="1" applyProtection="1">
      <alignment horizontal="center" vertical="center"/>
      <protection locked="0"/>
    </xf>
    <xf numFmtId="0" fontId="3" fillId="0" borderId="1" xfId="1" applyFont="1" applyFill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applyAlignment="1">
      <alignment horizontal="center"/>
    </xf>
    <xf numFmtId="0" fontId="2" fillId="0" borderId="3" xfId="0" applyFont="1" applyBorder="1" applyAlignment="1" applyProtection="1">
      <alignment vertical="center"/>
      <protection hidden="1"/>
    </xf>
    <xf numFmtId="0" fontId="2" fillId="0" borderId="3" xfId="0" applyFont="1" applyBorder="1" applyAlignment="1" applyProtection="1">
      <alignment horizontal="center" vertical="center"/>
      <protection hidden="1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2" fillId="0" borderId="2" xfId="0" applyFont="1" applyBorder="1" applyAlignment="1" applyProtection="1">
      <alignment horizontal="right" vertical="center"/>
      <protection hidden="1"/>
    </xf>
    <xf numFmtId="0" fontId="0" fillId="0" borderId="0" xfId="0" applyAlignment="1">
      <alignment horizontal="right"/>
    </xf>
    <xf numFmtId="0" fontId="7" fillId="0" borderId="1" xfId="1" applyFont="1" applyFill="1" applyAlignment="1" applyProtection="1">
      <alignment horizontal="center" vertical="center"/>
      <protection locked="0"/>
    </xf>
    <xf numFmtId="0" fontId="7" fillId="0" borderId="1" xfId="1" applyFont="1" applyFill="1" applyAlignment="1" applyProtection="1">
      <alignment horizontal="center" vertical="center"/>
      <protection hidden="1"/>
    </xf>
    <xf numFmtId="0" fontId="0" fillId="3" borderId="6" xfId="0" applyFont="1" applyFill="1" applyBorder="1" applyAlignment="1">
      <alignment horizontal="center" vertical="center"/>
    </xf>
    <xf numFmtId="0" fontId="0" fillId="4" borderId="6" xfId="0" applyFont="1" applyFill="1" applyBorder="1" applyAlignment="1">
      <alignment horizontal="center" vertical="center"/>
    </xf>
    <xf numFmtId="0" fontId="0" fillId="3" borderId="6" xfId="0" applyFont="1" applyFill="1" applyBorder="1" applyAlignment="1">
      <alignment horizontal="center"/>
    </xf>
    <xf numFmtId="0" fontId="0" fillId="4" borderId="6" xfId="0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 vertical="center"/>
    </xf>
    <xf numFmtId="0" fontId="0" fillId="3" borderId="7" xfId="0" applyFont="1" applyFill="1" applyBorder="1" applyAlignment="1">
      <alignment horizontal="center" vertical="center"/>
    </xf>
    <xf numFmtId="0" fontId="0" fillId="3" borderId="8" xfId="0" applyFont="1" applyFill="1" applyBorder="1" applyAlignment="1">
      <alignment horizontal="center" vertical="center"/>
    </xf>
    <xf numFmtId="0" fontId="0" fillId="4" borderId="7" xfId="0" applyFont="1" applyFill="1" applyBorder="1" applyAlignment="1">
      <alignment horizontal="center" vertical="center"/>
    </xf>
    <xf numFmtId="0" fontId="0" fillId="4" borderId="8" xfId="0" applyFont="1" applyFill="1" applyBorder="1" applyAlignment="1">
      <alignment horizontal="center" vertical="center"/>
    </xf>
    <xf numFmtId="0" fontId="2" fillId="0" borderId="3" xfId="0" applyFont="1" applyBorder="1" applyAlignment="1" applyProtection="1">
      <alignment horizontal="center" vertical="center"/>
      <protection hidden="1"/>
    </xf>
    <xf numFmtId="0" fontId="2" fillId="0" borderId="3" xfId="0" applyFont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4" fillId="3" borderId="5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</cellXfs>
  <cellStyles count="2">
    <cellStyle name="Cálculo" xfId="1" builtinId="22"/>
    <cellStyle name="Normal" xfId="0" builtinId="0"/>
  </cellStyles>
  <dxfs count="33"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indexed="64"/>
        </left>
      </border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552450</xdr:colOff>
          <xdr:row>1</xdr:row>
          <xdr:rowOff>161925</xdr:rowOff>
        </xdr:from>
        <xdr:to>
          <xdr:col>12</xdr:col>
          <xdr:colOff>95250</xdr:colOff>
          <xdr:row>11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12</xdr:row>
          <xdr:rowOff>161925</xdr:rowOff>
        </xdr:from>
        <xdr:to>
          <xdr:col>11</xdr:col>
          <xdr:colOff>600075</xdr:colOff>
          <xdr:row>16</xdr:row>
          <xdr:rowOff>142875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C2:K7" totalsRowShown="0" headerRowDxfId="32" dataDxfId="31">
  <autoFilter ref="C2:K7" xr:uid="{00000000-0009-0000-0100-000002000000}"/>
  <sortState ref="C3:K7">
    <sortCondition descending="1" ref="D2:D7"/>
  </sortState>
  <tableColumns count="9">
    <tableColumn id="1" xr3:uid="{00000000-0010-0000-0000-000001000000}" name="Equipa" dataDxfId="30"/>
    <tableColumn id="2" xr3:uid="{00000000-0010-0000-0000-000002000000}" name="Pontos" dataDxfId="29">
      <calculatedColumnFormula>F3*3+G3</calculatedColumnFormula>
    </tableColumn>
    <tableColumn id="3" xr3:uid="{00000000-0010-0000-0000-000003000000}" name="J" dataDxfId="28">
      <calculatedColumnFormula>SUM(F3:H3)</calculatedColumnFormula>
    </tableColumn>
    <tableColumn id="4" xr3:uid="{00000000-0010-0000-0000-000004000000}" name="V" dataDxfId="27"/>
    <tableColumn id="5" xr3:uid="{00000000-0010-0000-0000-000005000000}" name="E" dataDxfId="26"/>
    <tableColumn id="6" xr3:uid="{00000000-0010-0000-0000-000006000000}" name="D" dataDxfId="25"/>
    <tableColumn id="7" xr3:uid="{00000000-0010-0000-0000-000007000000}" name="GM" dataDxfId="24"/>
    <tableColumn id="8" xr3:uid="{00000000-0010-0000-0000-000008000000}" name="GS" dataDxfId="23"/>
    <tableColumn id="9" xr3:uid="{00000000-0010-0000-0000-000009000000}" name="DIFG" dataDxfId="22">
      <calculatedColumnFormula>I3-J3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ela25" displayName="Tabela25" ref="C2:K7" totalsRowShown="0" headerRowDxfId="21" dataDxfId="20">
  <autoFilter ref="C2:K7" xr:uid="{00000000-0009-0000-0100-000004000000}"/>
  <sortState ref="C3:K7">
    <sortCondition descending="1" ref="D2:D7"/>
  </sortState>
  <tableColumns count="9">
    <tableColumn id="1" xr3:uid="{00000000-0010-0000-0100-000001000000}" name="Equipa" dataDxfId="19"/>
    <tableColumn id="2" xr3:uid="{00000000-0010-0000-0100-000002000000}" name="Pontos" dataDxfId="18">
      <calculatedColumnFormula>F3*3+G3</calculatedColumnFormula>
    </tableColumn>
    <tableColumn id="3" xr3:uid="{00000000-0010-0000-0100-000003000000}" name="J" dataDxfId="17">
      <calculatedColumnFormula>SUM(F3:H3)</calculatedColumnFormula>
    </tableColumn>
    <tableColumn id="4" xr3:uid="{00000000-0010-0000-0100-000004000000}" name="V" dataDxfId="16"/>
    <tableColumn id="5" xr3:uid="{00000000-0010-0000-0100-000005000000}" name="E" dataDxfId="15"/>
    <tableColumn id="6" xr3:uid="{00000000-0010-0000-0100-000006000000}" name="D" dataDxfId="14"/>
    <tableColumn id="7" xr3:uid="{00000000-0010-0000-0100-000007000000}" name="GM" dataDxfId="13"/>
    <tableColumn id="8" xr3:uid="{00000000-0010-0000-0100-000008000000}" name="GS" dataDxfId="12"/>
    <tableColumn id="9" xr3:uid="{00000000-0010-0000-0100-000009000000}" name="DIFG" dataDxfId="11">
      <calculatedColumnFormula>I3-J3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ela256" displayName="Tabela256" ref="C2:K7" totalsRowShown="0" headerRowDxfId="10" dataDxfId="9">
  <autoFilter ref="C2:K7" xr:uid="{00000000-0009-0000-0100-000005000000}"/>
  <sortState ref="C3:K7">
    <sortCondition descending="1" ref="D2:D7"/>
  </sortState>
  <tableColumns count="9">
    <tableColumn id="1" xr3:uid="{00000000-0010-0000-0200-000001000000}" name="Equipa" dataDxfId="8"/>
    <tableColumn id="2" xr3:uid="{00000000-0010-0000-0200-000002000000}" name="Pontos" dataDxfId="7">
      <calculatedColumnFormula>F3*3+G3</calculatedColumnFormula>
    </tableColumn>
    <tableColumn id="3" xr3:uid="{00000000-0010-0000-0200-000003000000}" name="J" dataDxfId="6">
      <calculatedColumnFormula>SUM(F3:H3)</calculatedColumnFormula>
    </tableColumn>
    <tableColumn id="4" xr3:uid="{00000000-0010-0000-0200-000004000000}" name="V" dataDxfId="5"/>
    <tableColumn id="5" xr3:uid="{00000000-0010-0000-0200-000005000000}" name="E" dataDxfId="4"/>
    <tableColumn id="6" xr3:uid="{00000000-0010-0000-0200-000006000000}" name="D" dataDxfId="3"/>
    <tableColumn id="7" xr3:uid="{00000000-0010-0000-0200-000007000000}" name="GM" dataDxfId="2"/>
    <tableColumn id="8" xr3:uid="{00000000-0010-0000-0200-000008000000}" name="GS" dataDxfId="1"/>
    <tableColumn id="9" xr3:uid="{00000000-0010-0000-0200-000009000000}" name="DIFG" dataDxfId="0">
      <calculatedColumnFormula>I3-J3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L33"/>
  <sheetViews>
    <sheetView tabSelected="1" workbookViewId="0">
      <selection activeCell="D3" sqref="D3:F33"/>
    </sheetView>
  </sheetViews>
  <sheetFormatPr defaultRowHeight="15" x14ac:dyDescent="0.25"/>
  <cols>
    <col min="2" max="2" width="2.28515625" bestFit="1" customWidth="1"/>
    <col min="3" max="3" width="22.28515625" style="12" bestFit="1" customWidth="1"/>
    <col min="7" max="7" width="22.28515625" bestFit="1" customWidth="1"/>
    <col min="8" max="8" width="2.28515625" bestFit="1" customWidth="1"/>
  </cols>
  <sheetData>
    <row r="3" spans="1:8" x14ac:dyDescent="0.25">
      <c r="A3" s="5">
        <v>0.375</v>
      </c>
      <c r="B3" t="str">
        <f>IF(D3="","-",IF(D3=F3,"E",IF(D3&gt;F3,"V","D")))</f>
        <v>D</v>
      </c>
      <c r="C3" s="11" t="s">
        <v>0</v>
      </c>
      <c r="D3" s="2">
        <v>0</v>
      </c>
      <c r="E3" s="3" t="s">
        <v>3</v>
      </c>
      <c r="F3" s="2">
        <v>8</v>
      </c>
      <c r="G3" s="7" t="s">
        <v>17</v>
      </c>
      <c r="H3" t="str">
        <f>IF(F3="","-",IF(F3=D3,"E",IF(F3&gt;D3,"V","D")))</f>
        <v>V</v>
      </c>
    </row>
    <row r="4" spans="1:8" x14ac:dyDescent="0.25">
      <c r="A4" s="5">
        <v>0.3923611111111111</v>
      </c>
      <c r="B4" t="str">
        <f t="shared" ref="B4:B33" si="0">IF(D4="","-",IF(D4=F4,"E",IF(D4&gt;F4,"V","D")))</f>
        <v>V</v>
      </c>
      <c r="C4" s="11" t="s">
        <v>2</v>
      </c>
      <c r="D4" s="2">
        <v>4</v>
      </c>
      <c r="E4" s="3" t="s">
        <v>3</v>
      </c>
      <c r="F4" s="2">
        <v>1</v>
      </c>
      <c r="G4" s="7" t="s">
        <v>23</v>
      </c>
      <c r="H4" t="str">
        <f t="shared" ref="H4:H33" si="1">IF(F4="","-",IF(F4=D4,"E",IF(F4&gt;D4,"V","D")))</f>
        <v>D</v>
      </c>
    </row>
    <row r="5" spans="1:8" x14ac:dyDescent="0.25">
      <c r="A5" s="5">
        <v>0.40972222222222227</v>
      </c>
      <c r="B5" t="str">
        <f t="shared" si="0"/>
        <v>V</v>
      </c>
      <c r="C5" s="11" t="s">
        <v>18</v>
      </c>
      <c r="D5" s="2">
        <v>1</v>
      </c>
      <c r="E5" s="3" t="s">
        <v>3</v>
      </c>
      <c r="F5" s="2">
        <v>0</v>
      </c>
      <c r="G5" s="7" t="s">
        <v>14</v>
      </c>
      <c r="H5" t="str">
        <f t="shared" si="1"/>
        <v>D</v>
      </c>
    </row>
    <row r="6" spans="1:8" x14ac:dyDescent="0.25">
      <c r="A6" s="5">
        <v>0.42708333333333331</v>
      </c>
      <c r="B6" t="str">
        <f t="shared" si="0"/>
        <v>V</v>
      </c>
      <c r="C6" s="11" t="s">
        <v>20</v>
      </c>
      <c r="D6" s="2">
        <v>4</v>
      </c>
      <c r="E6" s="3" t="s">
        <v>3</v>
      </c>
      <c r="F6" s="2">
        <v>1</v>
      </c>
      <c r="G6" s="7" t="s">
        <v>0</v>
      </c>
      <c r="H6" t="str">
        <f t="shared" si="1"/>
        <v>D</v>
      </c>
    </row>
    <row r="7" spans="1:8" x14ac:dyDescent="0.25">
      <c r="A7" s="5">
        <v>0.44444444444444442</v>
      </c>
      <c r="B7" t="str">
        <f t="shared" si="0"/>
        <v>V</v>
      </c>
      <c r="C7" s="11" t="s">
        <v>15</v>
      </c>
      <c r="D7" s="2">
        <v>4</v>
      </c>
      <c r="E7" s="3" t="s">
        <v>3</v>
      </c>
      <c r="F7" s="2">
        <v>0</v>
      </c>
      <c r="G7" s="7" t="s">
        <v>25</v>
      </c>
      <c r="H7" t="str">
        <f t="shared" si="1"/>
        <v>D</v>
      </c>
    </row>
    <row r="8" spans="1:8" x14ac:dyDescent="0.25">
      <c r="A8" s="5">
        <v>0.46180555555555558</v>
      </c>
      <c r="B8" t="str">
        <f t="shared" si="0"/>
        <v>V</v>
      </c>
      <c r="C8" s="11" t="s">
        <v>2</v>
      </c>
      <c r="D8" s="2">
        <v>7</v>
      </c>
      <c r="E8" s="3" t="s">
        <v>3</v>
      </c>
      <c r="F8" s="2">
        <v>0</v>
      </c>
      <c r="G8" s="7" t="s">
        <v>30</v>
      </c>
      <c r="H8" t="str">
        <f t="shared" si="1"/>
        <v>D</v>
      </c>
    </row>
    <row r="9" spans="1:8" x14ac:dyDescent="0.25">
      <c r="A9" s="5">
        <v>0.47916666666666669</v>
      </c>
      <c r="B9" t="str">
        <f t="shared" si="0"/>
        <v>D</v>
      </c>
      <c r="C9" s="11" t="s">
        <v>14</v>
      </c>
      <c r="D9" s="2">
        <v>0</v>
      </c>
      <c r="E9" s="3" t="s">
        <v>3</v>
      </c>
      <c r="F9" s="2">
        <v>15</v>
      </c>
      <c r="G9" s="7" t="s">
        <v>1</v>
      </c>
      <c r="H9" t="str">
        <f t="shared" si="1"/>
        <v>V</v>
      </c>
    </row>
    <row r="10" spans="1:8" x14ac:dyDescent="0.25">
      <c r="A10" s="5">
        <v>0.49652777777777773</v>
      </c>
      <c r="B10" t="str">
        <f t="shared" si="0"/>
        <v>D</v>
      </c>
      <c r="C10" s="11" t="s">
        <v>28</v>
      </c>
      <c r="D10" s="2">
        <v>0</v>
      </c>
      <c r="E10" s="3" t="s">
        <v>3</v>
      </c>
      <c r="F10" s="2">
        <v>7</v>
      </c>
      <c r="G10" s="7" t="s">
        <v>15</v>
      </c>
      <c r="H10" t="str">
        <f t="shared" si="1"/>
        <v>V</v>
      </c>
    </row>
    <row r="11" spans="1:8" x14ac:dyDescent="0.25">
      <c r="A11" s="5">
        <v>0.51388888888888895</v>
      </c>
      <c r="B11" t="str">
        <f t="shared" si="0"/>
        <v>D</v>
      </c>
      <c r="C11" s="11" t="s">
        <v>30</v>
      </c>
      <c r="D11" s="2">
        <v>0</v>
      </c>
      <c r="E11" s="3" t="s">
        <v>3</v>
      </c>
      <c r="F11" s="2">
        <v>1</v>
      </c>
      <c r="G11" s="7" t="s">
        <v>23</v>
      </c>
      <c r="H11" t="str">
        <f t="shared" si="1"/>
        <v>V</v>
      </c>
    </row>
    <row r="12" spans="1:8" x14ac:dyDescent="0.25">
      <c r="A12" s="5">
        <v>0.5625</v>
      </c>
      <c r="B12" t="str">
        <f t="shared" si="0"/>
        <v>V</v>
      </c>
      <c r="C12" s="11" t="s">
        <v>17</v>
      </c>
      <c r="D12" s="2">
        <v>6</v>
      </c>
      <c r="E12" s="3" t="s">
        <v>3</v>
      </c>
      <c r="F12" s="2">
        <v>0</v>
      </c>
      <c r="G12" s="7" t="s">
        <v>21</v>
      </c>
      <c r="H12" t="str">
        <f t="shared" si="1"/>
        <v>D</v>
      </c>
    </row>
    <row r="13" spans="1:8" x14ac:dyDescent="0.25">
      <c r="A13" s="5">
        <v>0.57986111111111116</v>
      </c>
      <c r="B13" t="str">
        <f t="shared" si="0"/>
        <v>V</v>
      </c>
      <c r="C13" s="11" t="s">
        <v>18</v>
      </c>
      <c r="D13" s="2">
        <v>3</v>
      </c>
      <c r="E13" s="3" t="s">
        <v>3</v>
      </c>
      <c r="F13" s="2">
        <v>1</v>
      </c>
      <c r="G13" s="7" t="s">
        <v>28</v>
      </c>
      <c r="H13" t="str">
        <f t="shared" si="1"/>
        <v>D</v>
      </c>
    </row>
    <row r="14" spans="1:8" x14ac:dyDescent="0.25">
      <c r="A14" s="5">
        <v>0.59722222222222232</v>
      </c>
      <c r="B14" t="str">
        <f t="shared" si="0"/>
        <v>V</v>
      </c>
      <c r="C14" s="11" t="s">
        <v>1</v>
      </c>
      <c r="D14" s="2">
        <v>5</v>
      </c>
      <c r="E14" s="3" t="s">
        <v>3</v>
      </c>
      <c r="F14" s="2">
        <v>0</v>
      </c>
      <c r="G14" s="7" t="s">
        <v>30</v>
      </c>
      <c r="H14" t="str">
        <f t="shared" si="1"/>
        <v>D</v>
      </c>
    </row>
    <row r="15" spans="1:8" x14ac:dyDescent="0.25">
      <c r="A15" s="5">
        <v>0.61458333333333348</v>
      </c>
      <c r="B15" t="str">
        <f t="shared" si="0"/>
        <v>D</v>
      </c>
      <c r="C15" s="11" t="s">
        <v>0</v>
      </c>
      <c r="D15" s="2">
        <v>1</v>
      </c>
      <c r="E15" s="3" t="s">
        <v>3</v>
      </c>
      <c r="F15" s="2">
        <v>4</v>
      </c>
      <c r="G15" s="7" t="s">
        <v>21</v>
      </c>
      <c r="H15" t="str">
        <f t="shared" si="1"/>
        <v>V</v>
      </c>
    </row>
    <row r="16" spans="1:8" x14ac:dyDescent="0.25">
      <c r="A16" s="5">
        <v>0.63194444444444464</v>
      </c>
      <c r="B16" t="str">
        <f t="shared" si="0"/>
        <v>D</v>
      </c>
      <c r="C16" s="11" t="s">
        <v>25</v>
      </c>
      <c r="D16" s="2">
        <v>0</v>
      </c>
      <c r="E16" s="3" t="s">
        <v>3</v>
      </c>
      <c r="F16" s="2">
        <v>1</v>
      </c>
      <c r="G16" s="7" t="s">
        <v>28</v>
      </c>
      <c r="H16" t="str">
        <f t="shared" si="1"/>
        <v>V</v>
      </c>
    </row>
    <row r="17" spans="1:12" x14ac:dyDescent="0.25">
      <c r="A17" s="5">
        <v>0.6493055555555558</v>
      </c>
      <c r="B17" t="str">
        <f t="shared" si="0"/>
        <v>V</v>
      </c>
      <c r="C17" s="11" t="s">
        <v>1</v>
      </c>
      <c r="D17" s="2">
        <v>4</v>
      </c>
      <c r="E17" s="3" t="s">
        <v>3</v>
      </c>
      <c r="F17" s="2">
        <v>0</v>
      </c>
      <c r="G17" s="7" t="s">
        <v>2</v>
      </c>
      <c r="H17" t="str">
        <f t="shared" si="1"/>
        <v>D</v>
      </c>
    </row>
    <row r="18" spans="1:12" x14ac:dyDescent="0.25">
      <c r="B18" t="str">
        <f t="shared" si="0"/>
        <v>-</v>
      </c>
      <c r="C18" s="11"/>
      <c r="D18" s="2"/>
      <c r="E18" s="3" t="s">
        <v>3</v>
      </c>
      <c r="F18" s="2"/>
      <c r="G18" s="8"/>
      <c r="H18" t="str">
        <f t="shared" si="1"/>
        <v>-</v>
      </c>
      <c r="L18" s="10"/>
    </row>
    <row r="19" spans="1:12" x14ac:dyDescent="0.25">
      <c r="A19" s="5">
        <v>0.375</v>
      </c>
      <c r="B19" t="str">
        <f t="shared" si="0"/>
        <v>D</v>
      </c>
      <c r="C19" s="11" t="s">
        <v>25</v>
      </c>
      <c r="D19" s="2">
        <v>1</v>
      </c>
      <c r="E19" s="3">
        <v>3</v>
      </c>
      <c r="F19" s="2">
        <v>3</v>
      </c>
      <c r="G19" s="7" t="s">
        <v>18</v>
      </c>
      <c r="H19" t="str">
        <f t="shared" si="1"/>
        <v>V</v>
      </c>
    </row>
    <row r="20" spans="1:12" x14ac:dyDescent="0.25">
      <c r="A20" s="5">
        <v>0.3923611111111111</v>
      </c>
      <c r="B20" t="str">
        <f t="shared" si="0"/>
        <v>D</v>
      </c>
      <c r="C20" s="11" t="s">
        <v>21</v>
      </c>
      <c r="D20" s="2">
        <v>1</v>
      </c>
      <c r="E20" s="3" t="s">
        <v>3</v>
      </c>
      <c r="F20" s="2">
        <v>2</v>
      </c>
      <c r="G20" s="7" t="s">
        <v>29</v>
      </c>
      <c r="H20" t="str">
        <f t="shared" si="1"/>
        <v>V</v>
      </c>
    </row>
    <row r="21" spans="1:12" x14ac:dyDescent="0.25">
      <c r="A21" s="5">
        <v>0.40972222222222227</v>
      </c>
      <c r="B21" t="str">
        <f t="shared" si="0"/>
        <v>V</v>
      </c>
      <c r="C21" s="11" t="s">
        <v>28</v>
      </c>
      <c r="D21" s="2">
        <v>2</v>
      </c>
      <c r="E21" s="3" t="s">
        <v>3</v>
      </c>
      <c r="F21" s="2">
        <v>0</v>
      </c>
      <c r="G21" s="7" t="s">
        <v>26</v>
      </c>
      <c r="H21" t="str">
        <f t="shared" si="1"/>
        <v>D</v>
      </c>
    </row>
    <row r="22" spans="1:12" x14ac:dyDescent="0.25">
      <c r="A22" s="5">
        <v>0.42708333333333331</v>
      </c>
      <c r="B22" t="str">
        <f t="shared" si="0"/>
        <v>D</v>
      </c>
      <c r="C22" s="11" t="s">
        <v>23</v>
      </c>
      <c r="D22" s="2">
        <v>0</v>
      </c>
      <c r="E22" s="3" t="s">
        <v>3</v>
      </c>
      <c r="F22" s="2">
        <v>8</v>
      </c>
      <c r="G22" s="7" t="s">
        <v>1</v>
      </c>
      <c r="H22" t="str">
        <f t="shared" si="1"/>
        <v>V</v>
      </c>
    </row>
    <row r="23" spans="1:12" x14ac:dyDescent="0.25">
      <c r="A23" s="5">
        <v>0.44444444444444442</v>
      </c>
      <c r="B23" t="str">
        <f t="shared" si="0"/>
        <v>D</v>
      </c>
      <c r="C23" s="11" t="s">
        <v>29</v>
      </c>
      <c r="D23" s="2">
        <v>1</v>
      </c>
      <c r="E23" s="3" t="s">
        <v>3</v>
      </c>
      <c r="F23" s="2">
        <v>3</v>
      </c>
      <c r="G23" s="7" t="s">
        <v>17</v>
      </c>
      <c r="H23" t="str">
        <f t="shared" si="1"/>
        <v>V</v>
      </c>
    </row>
    <row r="24" spans="1:12" x14ac:dyDescent="0.25">
      <c r="A24" s="5">
        <v>0.46180555555555558</v>
      </c>
      <c r="B24" t="str">
        <f t="shared" si="0"/>
        <v>D</v>
      </c>
      <c r="C24" s="11" t="s">
        <v>26</v>
      </c>
      <c r="D24" s="2">
        <v>1</v>
      </c>
      <c r="E24" s="3" t="s">
        <v>3</v>
      </c>
      <c r="F24" s="2">
        <v>2</v>
      </c>
      <c r="G24" s="7" t="s">
        <v>18</v>
      </c>
      <c r="H24" t="str">
        <f t="shared" si="1"/>
        <v>V</v>
      </c>
    </row>
    <row r="25" spans="1:12" x14ac:dyDescent="0.25">
      <c r="A25" s="5">
        <v>0.47916666666666669</v>
      </c>
      <c r="B25" t="str">
        <f t="shared" si="0"/>
        <v>V</v>
      </c>
      <c r="C25" s="11" t="s">
        <v>21</v>
      </c>
      <c r="D25" s="2">
        <v>2</v>
      </c>
      <c r="E25" s="3" t="s">
        <v>3</v>
      </c>
      <c r="F25" s="2">
        <v>0</v>
      </c>
      <c r="G25" s="7" t="s">
        <v>20</v>
      </c>
      <c r="H25" t="str">
        <f t="shared" si="1"/>
        <v>D</v>
      </c>
    </row>
    <row r="26" spans="1:12" x14ac:dyDescent="0.25">
      <c r="A26" s="5">
        <v>0.49652777777777773</v>
      </c>
      <c r="B26" t="str">
        <f t="shared" si="0"/>
        <v>V</v>
      </c>
      <c r="C26" s="11" t="s">
        <v>29</v>
      </c>
      <c r="D26" s="2">
        <v>3</v>
      </c>
      <c r="E26" s="3" t="s">
        <v>3</v>
      </c>
      <c r="F26" s="2">
        <v>1</v>
      </c>
      <c r="G26" s="7" t="s">
        <v>0</v>
      </c>
      <c r="H26" t="str">
        <f t="shared" si="1"/>
        <v>D</v>
      </c>
    </row>
    <row r="27" spans="1:12" x14ac:dyDescent="0.25">
      <c r="A27" s="5">
        <v>0.51388888888888895</v>
      </c>
      <c r="B27" t="str">
        <f t="shared" si="0"/>
        <v>V</v>
      </c>
      <c r="C27" s="11" t="s">
        <v>26</v>
      </c>
      <c r="D27" s="2">
        <v>1</v>
      </c>
      <c r="E27" s="3" t="s">
        <v>3</v>
      </c>
      <c r="F27" s="2">
        <v>0</v>
      </c>
      <c r="G27" s="7" t="s">
        <v>25</v>
      </c>
      <c r="H27" t="str">
        <f t="shared" si="1"/>
        <v>D</v>
      </c>
    </row>
    <row r="28" spans="1:12" x14ac:dyDescent="0.25">
      <c r="A28" s="5">
        <v>0.5625</v>
      </c>
      <c r="B28" t="str">
        <f t="shared" si="0"/>
        <v>D</v>
      </c>
      <c r="C28" s="11" t="s">
        <v>14</v>
      </c>
      <c r="D28" s="2">
        <v>0</v>
      </c>
      <c r="E28" s="3" t="s">
        <v>3</v>
      </c>
      <c r="F28" s="2">
        <v>3</v>
      </c>
      <c r="G28" s="7" t="s">
        <v>2</v>
      </c>
      <c r="H28" t="str">
        <f t="shared" si="1"/>
        <v>V</v>
      </c>
    </row>
    <row r="29" spans="1:12" x14ac:dyDescent="0.25">
      <c r="A29" s="5">
        <v>0.57986111111111116</v>
      </c>
      <c r="B29" t="str">
        <f t="shared" si="0"/>
        <v>V</v>
      </c>
      <c r="C29" s="11" t="s">
        <v>20</v>
      </c>
      <c r="D29" s="2">
        <v>2</v>
      </c>
      <c r="E29" s="3" t="s">
        <v>3</v>
      </c>
      <c r="F29" s="2">
        <v>1</v>
      </c>
      <c r="G29" s="7" t="s">
        <v>29</v>
      </c>
      <c r="H29" t="str">
        <f t="shared" si="1"/>
        <v>D</v>
      </c>
    </row>
    <row r="30" spans="1:12" x14ac:dyDescent="0.25">
      <c r="A30" s="5">
        <v>0.59722222222222232</v>
      </c>
      <c r="B30" t="str">
        <f t="shared" si="0"/>
        <v>V</v>
      </c>
      <c r="C30" s="11" t="s">
        <v>15</v>
      </c>
      <c r="D30" s="2">
        <v>4</v>
      </c>
      <c r="E30" s="3" t="s">
        <v>3</v>
      </c>
      <c r="F30" s="2">
        <v>1</v>
      </c>
      <c r="G30" s="7" t="s">
        <v>26</v>
      </c>
      <c r="H30" t="str">
        <f t="shared" si="1"/>
        <v>D</v>
      </c>
    </row>
    <row r="31" spans="1:12" x14ac:dyDescent="0.25">
      <c r="A31" s="5">
        <v>0.61458333333333348</v>
      </c>
      <c r="B31" t="str">
        <f t="shared" si="0"/>
        <v>V</v>
      </c>
      <c r="C31" s="11" t="s">
        <v>23</v>
      </c>
      <c r="D31" s="2">
        <v>2</v>
      </c>
      <c r="E31" s="3" t="s">
        <v>3</v>
      </c>
      <c r="F31" s="2">
        <v>1</v>
      </c>
      <c r="G31" s="7" t="s">
        <v>14</v>
      </c>
      <c r="H31" t="str">
        <f t="shared" si="1"/>
        <v>D</v>
      </c>
    </row>
    <row r="32" spans="1:12" x14ac:dyDescent="0.25">
      <c r="A32" s="5">
        <v>0.63194444444444464</v>
      </c>
      <c r="B32" t="str">
        <f t="shared" si="0"/>
        <v>V</v>
      </c>
      <c r="C32" s="11" t="s">
        <v>17</v>
      </c>
      <c r="D32" s="2">
        <v>12</v>
      </c>
      <c r="E32" s="3" t="s">
        <v>3</v>
      </c>
      <c r="F32" s="2">
        <v>0</v>
      </c>
      <c r="G32" s="7" t="s">
        <v>20</v>
      </c>
      <c r="H32" t="str">
        <f t="shared" si="1"/>
        <v>D</v>
      </c>
    </row>
    <row r="33" spans="1:8" x14ac:dyDescent="0.25">
      <c r="A33" s="5">
        <v>0.6493055555555558</v>
      </c>
      <c r="B33" t="str">
        <f t="shared" si="0"/>
        <v>D</v>
      </c>
      <c r="C33" s="11" t="s">
        <v>18</v>
      </c>
      <c r="D33" s="2">
        <v>0</v>
      </c>
      <c r="E33" s="3" t="s">
        <v>3</v>
      </c>
      <c r="F33" s="2">
        <v>6</v>
      </c>
      <c r="G33" s="7" t="s">
        <v>15</v>
      </c>
      <c r="H33" t="str">
        <f t="shared" si="1"/>
        <v>V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ultados_Botão1_Click">
                <anchor moveWithCells="1" sizeWithCells="1">
                  <from>
                    <xdr:col>8</xdr:col>
                    <xdr:colOff>552450</xdr:colOff>
                    <xdr:row>1</xdr:row>
                    <xdr:rowOff>161925</xdr:rowOff>
                  </from>
                  <to>
                    <xdr:col>12</xdr:col>
                    <xdr:colOff>95250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Resultados_Botão4_Click">
                <anchor moveWithCells="1" sizeWithCells="1">
                  <from>
                    <xdr:col>9</xdr:col>
                    <xdr:colOff>57150</xdr:colOff>
                    <xdr:row>12</xdr:row>
                    <xdr:rowOff>161925</xdr:rowOff>
                  </from>
                  <to>
                    <xdr:col>11</xdr:col>
                    <xdr:colOff>600075</xdr:colOff>
                    <xdr:row>16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X40"/>
  <sheetViews>
    <sheetView workbookViewId="0">
      <selection activeCell="D10" sqref="D10:F40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</cols>
  <sheetData>
    <row r="1" spans="1:24" s="4" customFormat="1" ht="18.75" x14ac:dyDescent="0.25">
      <c r="C1" s="27" t="s">
        <v>13</v>
      </c>
      <c r="D1" s="27"/>
      <c r="E1" s="27"/>
      <c r="F1" s="27"/>
      <c r="G1" s="27"/>
      <c r="H1" s="27"/>
      <c r="I1" s="27"/>
      <c r="J1" s="27"/>
      <c r="K1" s="28"/>
    </row>
    <row r="2" spans="1:24" s="4" customFormat="1" x14ac:dyDescent="0.25">
      <c r="C2" s="4" t="s">
        <v>12</v>
      </c>
      <c r="D2" s="4" t="s">
        <v>11</v>
      </c>
      <c r="E2" s="4" t="s">
        <v>7</v>
      </c>
      <c r="F2" s="4" t="s">
        <v>4</v>
      </c>
      <c r="G2" s="4" t="s">
        <v>5</v>
      </c>
      <c r="H2" s="4" t="s">
        <v>6</v>
      </c>
      <c r="I2" s="4" t="s">
        <v>8</v>
      </c>
      <c r="J2" s="4" t="s">
        <v>9</v>
      </c>
      <c r="K2" s="4" t="s">
        <v>10</v>
      </c>
    </row>
    <row r="3" spans="1:24" s="4" customFormat="1" x14ac:dyDescent="0.25">
      <c r="C3" s="4" t="s">
        <v>17</v>
      </c>
      <c r="D3" s="4">
        <f>F3*3+G3</f>
        <v>12</v>
      </c>
      <c r="E3" s="4">
        <f>SUM(F3:H3)</f>
        <v>4</v>
      </c>
      <c r="F3" s="4">
        <f>COUNTIF($B$19,"V")+COUNTIF($B$39,"V")+COUNTIF($J$10,"V")+COUNTIF($J$30,"V")</f>
        <v>4</v>
      </c>
      <c r="G3" s="4">
        <f>COUNTIF($B$19,"E")+COUNTIF($B$39,"E")+COUNTIF($J$30,"E")+COUNTIF($J$10,"E")</f>
        <v>0</v>
      </c>
      <c r="H3" s="4">
        <f>COUNTIF($B$19,"D")+COUNTIF($B$39,"D")+COUNTIF($J$10,"D")+COUNTIF($J$30,"D")</f>
        <v>0</v>
      </c>
      <c r="I3" s="4">
        <f>$F$10+$D$19+$F$30+$D$39</f>
        <v>29</v>
      </c>
      <c r="J3" s="4">
        <f>$D$10+$F$19+$D$30+$F$39</f>
        <v>1</v>
      </c>
      <c r="K3" s="4">
        <f>I3-J3</f>
        <v>28</v>
      </c>
    </row>
    <row r="4" spans="1:24" s="4" customFormat="1" x14ac:dyDescent="0.25">
      <c r="C4" s="4" t="s">
        <v>29</v>
      </c>
      <c r="D4" s="4">
        <f>F4*3+G4</f>
        <v>6</v>
      </c>
      <c r="E4" s="4">
        <f>SUM(F4:H4)</f>
        <v>4</v>
      </c>
      <c r="F4" s="4">
        <f>COUNTIF($B$30,"V")+COUNTIF($B$33,"V")+COUNTIF($J$27,"V")+COUNTIF($J$36,"V")</f>
        <v>2</v>
      </c>
      <c r="G4" s="4">
        <f>COUNTIF($B$30,"E")+COUNTIF($B$33,"E")+COUNTIF($J$27,"E")+COUNTIF($J$36,"E")</f>
        <v>0</v>
      </c>
      <c r="H4" s="4">
        <f>COUNTIF($B$30,"D")+COUNTIF($B$33,"D")+COUNTIF($J$27,"D")+COUNTIF($J$36,"D")</f>
        <v>2</v>
      </c>
      <c r="I4" s="4">
        <f>$F$36+$D$33+$D$30+$F$27</f>
        <v>7</v>
      </c>
      <c r="J4" s="4">
        <f>$D$36+$F$33+$F$30+$D$27</f>
        <v>7</v>
      </c>
      <c r="K4" s="4">
        <f>I4-J4</f>
        <v>0</v>
      </c>
    </row>
    <row r="5" spans="1:24" s="4" customFormat="1" x14ac:dyDescent="0.25">
      <c r="C5" s="4" t="s">
        <v>20</v>
      </c>
      <c r="D5" s="4">
        <f>F5*3+G5</f>
        <v>6</v>
      </c>
      <c r="E5" s="4">
        <f>SUM(F5:H5)</f>
        <v>4</v>
      </c>
      <c r="F5" s="4">
        <f>COUNTIF($B$13,"V")+COUNTIF($B$36,"V")+COUNTIF($J$32,"V")+COUNTIF($J$39,"V")</f>
        <v>2</v>
      </c>
      <c r="G5" s="4">
        <f>COUNTIF($B$13,"E")+COUNTIF($B$36,"E")+COUNTIF($J$32,"E")+COUNTIF($J$39,"E")</f>
        <v>0</v>
      </c>
      <c r="H5" s="4">
        <f>COUNTIF($B$13,"D")+COUNTIF($B$36,"D")+COUNTIF($J$32,"D")+COUNTIF($J$39,"D")</f>
        <v>2</v>
      </c>
      <c r="I5" s="4">
        <f>$D$13+$F$32+$D$36+$F$39</f>
        <v>6</v>
      </c>
      <c r="J5" s="4">
        <f>$F$13+$D$32+$F$36+$D$39</f>
        <v>16</v>
      </c>
      <c r="K5" s="4">
        <f>I5-J5</f>
        <v>-10</v>
      </c>
      <c r="P5" s="15" t="s">
        <v>20</v>
      </c>
      <c r="Q5" s="20">
        <f>S5*3+T5</f>
        <v>6</v>
      </c>
      <c r="R5" s="20">
        <f>SUM(S5:U5)</f>
        <v>4</v>
      </c>
      <c r="S5" s="20">
        <f>COUNTIF($B$13,"V")+COUNTIF($B$36,"V")+COUNTIF($J$32,"V")+COUNTIF($J$39,"V")</f>
        <v>2</v>
      </c>
      <c r="T5" s="20">
        <f>COUNTIF($B$13,"E")+COUNTIF($B$36,"E")+COUNTIF($J$32,"E")+COUNTIF($J$39,"E")</f>
        <v>0</v>
      </c>
      <c r="U5" s="20">
        <f>COUNTIF($B$13,"D")+COUNTIF($B$36,"D")+COUNTIF($J$32,"D")+COUNTIF($J$39,"D")</f>
        <v>2</v>
      </c>
      <c r="V5" s="20">
        <f>$D$13+$F$32+$D$36+$F$39</f>
        <v>6</v>
      </c>
      <c r="W5" s="20">
        <f>$F$13+$D$32+$F$36+$D$39</f>
        <v>16</v>
      </c>
      <c r="X5" s="21">
        <f>V5-W5</f>
        <v>-10</v>
      </c>
    </row>
    <row r="6" spans="1:24" s="4" customFormat="1" x14ac:dyDescent="0.25">
      <c r="C6" s="4" t="s">
        <v>21</v>
      </c>
      <c r="D6" s="4">
        <f>F6*3+G6</f>
        <v>6</v>
      </c>
      <c r="E6" s="4">
        <f>SUM(F6:H6)</f>
        <v>4</v>
      </c>
      <c r="F6" s="4">
        <f>COUNTIF($B$32,"V")+COUNTIF($B$27,"V")+COUNTIF($J$19,"V")+COUNTIF($J$22,"V")</f>
        <v>2</v>
      </c>
      <c r="G6" s="4">
        <f>COUNTIF($B$32,"E")+COUNTIF($B$27,"E")+COUNTIF($J$22,"E")+COUNTIF($J$19,"E")</f>
        <v>0</v>
      </c>
      <c r="H6" s="4">
        <f>COUNTIF($B$27,"D")+COUNTIF($B$32,"D")+COUNTIF($J$22,"D")+COUNTIF($J$19,"D")</f>
        <v>2</v>
      </c>
      <c r="I6" s="4">
        <f>$F$19+$D$27+$D$32+$F$22</f>
        <v>7</v>
      </c>
      <c r="J6" s="4">
        <f>$D$19+$F$27+$F$32+$D$22</f>
        <v>9</v>
      </c>
      <c r="K6" s="4">
        <f>I6-J6</f>
        <v>-2</v>
      </c>
      <c r="P6" s="16" t="s">
        <v>21</v>
      </c>
      <c r="Q6" s="22">
        <f>S6*3+T6</f>
        <v>6</v>
      </c>
      <c r="R6" s="22">
        <f>SUM(S6:U6)</f>
        <v>4</v>
      </c>
      <c r="S6" s="22">
        <f>COUNTIF($B$32,"V")+COUNTIF($B$27,"V")+COUNTIF($J$19,"V")+COUNTIF($J$22,"V")</f>
        <v>2</v>
      </c>
      <c r="T6" s="22">
        <f>COUNTIF($B$32,"E")+COUNTIF($B$27,"E")+COUNTIF($J$22,"E")+COUNTIF($J$19,"E")</f>
        <v>0</v>
      </c>
      <c r="U6" s="22">
        <f>COUNTIF($B$27,"D")+COUNTIF($B$32,"D")+COUNTIF($J$22,"D")+COUNTIF($J$19,"D")</f>
        <v>2</v>
      </c>
      <c r="V6" s="22">
        <f>$F$19+$D$27+$D$32+$F$22</f>
        <v>7</v>
      </c>
      <c r="W6" s="22">
        <f>$D$19+$F$27+$F$32+$D$22</f>
        <v>9</v>
      </c>
      <c r="X6" s="23">
        <f>V6-W6</f>
        <v>-2</v>
      </c>
    </row>
    <row r="7" spans="1:24" s="4" customFormat="1" x14ac:dyDescent="0.25">
      <c r="C7" s="4" t="s">
        <v>0</v>
      </c>
      <c r="D7" s="4">
        <f>F7*3+G7</f>
        <v>0</v>
      </c>
      <c r="E7" s="4">
        <f>SUM(F7:H7)</f>
        <v>4</v>
      </c>
      <c r="F7" s="4">
        <f>COUNTIF($B$10,"V")+COUNTIF($B$22,"V")+COUNTIF($J$33,"V")+COUNTIF($J$13,"V")</f>
        <v>0</v>
      </c>
      <c r="G7" s="4">
        <f>COUNTIF($B$10,"E")+COUNTIF($B$22,"E")+COUNTIF($J$33,"E")+COUNTIF($J$13,"E")</f>
        <v>0</v>
      </c>
      <c r="H7" s="4">
        <f>COUNTIF($B$10,"D")+COUNTIF($B$22,"D")+COUNTIF($J$33,"D")+COUNTIF($J$13,"D")</f>
        <v>4</v>
      </c>
      <c r="I7" s="4">
        <f>$D$10+$F$13+$F$33+$D$22</f>
        <v>3</v>
      </c>
      <c r="J7" s="4">
        <f>$F$10+$D$13+$D$33+$F$22</f>
        <v>19</v>
      </c>
      <c r="K7" s="4">
        <f>I7-J7</f>
        <v>-16</v>
      </c>
    </row>
    <row r="10" spans="1:24" x14ac:dyDescent="0.25">
      <c r="A10" s="5">
        <v>0.375</v>
      </c>
      <c r="B10" t="str">
        <f>IF(D10="","-",IF(D10=F10,"E",IF(D10&gt;F10,"V","D")))</f>
        <v>D</v>
      </c>
      <c r="C10" s="1" t="s">
        <v>0</v>
      </c>
      <c r="D10" s="2">
        <v>0</v>
      </c>
      <c r="E10" s="3" t="s">
        <v>3</v>
      </c>
      <c r="F10" s="2">
        <v>8</v>
      </c>
      <c r="G10" s="25" t="s">
        <v>17</v>
      </c>
      <c r="H10" s="26"/>
      <c r="I10" s="26"/>
      <c r="J10" t="str">
        <f>IF(F10="","-",IF(F10=D10,"E",IF(F10&gt;D10,"V","D")))</f>
        <v>V</v>
      </c>
    </row>
    <row r="11" spans="1:24" x14ac:dyDescent="0.25">
      <c r="A11" s="5">
        <v>0.3923611111111111</v>
      </c>
      <c r="B11" t="str">
        <f t="shared" ref="B11:B25" si="0">IF(D11="","-",IF(D11=F11,"E",IF(D11&gt;F11,"V","D")))</f>
        <v>V</v>
      </c>
      <c r="C11" s="1" t="s">
        <v>2</v>
      </c>
      <c r="D11" s="2">
        <v>4</v>
      </c>
      <c r="E11" s="3" t="s">
        <v>3</v>
      </c>
      <c r="F11" s="2">
        <v>1</v>
      </c>
      <c r="G11" s="25" t="s">
        <v>23</v>
      </c>
      <c r="H11" s="26"/>
      <c r="I11" s="26"/>
      <c r="J11" t="str">
        <f t="shared" ref="J11:J25" si="1">IF(F11="","-",IF(F11=D11,"E",IF(F11&gt;D11,"V","D")))</f>
        <v>D</v>
      </c>
    </row>
    <row r="12" spans="1:24" x14ac:dyDescent="0.25">
      <c r="A12" s="5">
        <v>0.40972222222222227</v>
      </c>
      <c r="B12" t="str">
        <f t="shared" si="0"/>
        <v>V</v>
      </c>
      <c r="C12" s="1" t="s">
        <v>24</v>
      </c>
      <c r="D12" s="2">
        <v>1</v>
      </c>
      <c r="E12" s="3" t="s">
        <v>3</v>
      </c>
      <c r="F12" s="2">
        <v>0</v>
      </c>
      <c r="G12" s="25" t="s">
        <v>14</v>
      </c>
      <c r="H12" s="26"/>
      <c r="I12" s="26"/>
      <c r="J12" t="str">
        <f t="shared" si="1"/>
        <v>D</v>
      </c>
    </row>
    <row r="13" spans="1:24" x14ac:dyDescent="0.25">
      <c r="A13" s="5">
        <v>0.42708333333333331</v>
      </c>
      <c r="B13" t="str">
        <f t="shared" si="0"/>
        <v>V</v>
      </c>
      <c r="C13" s="1" t="s">
        <v>20</v>
      </c>
      <c r="D13" s="2">
        <v>4</v>
      </c>
      <c r="E13" s="3" t="s">
        <v>3</v>
      </c>
      <c r="F13" s="2">
        <v>1</v>
      </c>
      <c r="G13" s="25" t="s">
        <v>0</v>
      </c>
      <c r="H13" s="26"/>
      <c r="I13" s="26"/>
      <c r="J13" t="str">
        <f t="shared" si="1"/>
        <v>D</v>
      </c>
    </row>
    <row r="14" spans="1:24" x14ac:dyDescent="0.25">
      <c r="A14" s="5">
        <v>0.44444444444444442</v>
      </c>
      <c r="B14" t="str">
        <f t="shared" si="0"/>
        <v>V</v>
      </c>
      <c r="C14" s="1" t="s">
        <v>15</v>
      </c>
      <c r="D14" s="2">
        <v>4</v>
      </c>
      <c r="E14" s="3" t="s">
        <v>3</v>
      </c>
      <c r="F14" s="2">
        <v>0</v>
      </c>
      <c r="G14" s="25" t="s">
        <v>25</v>
      </c>
      <c r="H14" s="26"/>
      <c r="I14" s="26"/>
      <c r="J14" t="str">
        <f t="shared" si="1"/>
        <v>D</v>
      </c>
    </row>
    <row r="15" spans="1:24" x14ac:dyDescent="0.25">
      <c r="A15" s="5">
        <v>0.46180555555555558</v>
      </c>
      <c r="B15" t="str">
        <f t="shared" si="0"/>
        <v>V</v>
      </c>
      <c r="C15" s="1" t="s">
        <v>2</v>
      </c>
      <c r="D15" s="2">
        <v>7</v>
      </c>
      <c r="E15" s="3" t="s">
        <v>3</v>
      </c>
      <c r="F15" s="2">
        <v>0</v>
      </c>
      <c r="G15" s="25" t="s">
        <v>24</v>
      </c>
      <c r="H15" s="26"/>
      <c r="I15" s="26"/>
      <c r="J15" t="str">
        <f t="shared" si="1"/>
        <v>D</v>
      </c>
    </row>
    <row r="16" spans="1:24" x14ac:dyDescent="0.25">
      <c r="A16" s="5">
        <v>0.47916666666666669</v>
      </c>
      <c r="B16" t="str">
        <f t="shared" si="0"/>
        <v>D</v>
      </c>
      <c r="C16" s="1" t="s">
        <v>14</v>
      </c>
      <c r="D16" s="2">
        <v>0</v>
      </c>
      <c r="E16" s="3" t="s">
        <v>3</v>
      </c>
      <c r="F16" s="2">
        <v>15</v>
      </c>
      <c r="G16" s="25" t="s">
        <v>1</v>
      </c>
      <c r="H16" s="26"/>
      <c r="I16" s="26"/>
      <c r="J16" t="str">
        <f t="shared" si="1"/>
        <v>V</v>
      </c>
    </row>
    <row r="17" spans="1:10" x14ac:dyDescent="0.25">
      <c r="A17" s="5">
        <v>0.49652777777777773</v>
      </c>
      <c r="B17" t="str">
        <f t="shared" si="0"/>
        <v>D</v>
      </c>
      <c r="C17" s="1" t="s">
        <v>19</v>
      </c>
      <c r="D17" s="2">
        <v>0</v>
      </c>
      <c r="E17" s="3" t="s">
        <v>3</v>
      </c>
      <c r="F17" s="2">
        <v>7</v>
      </c>
      <c r="G17" s="25" t="s">
        <v>15</v>
      </c>
      <c r="H17" s="26"/>
      <c r="I17" s="26"/>
      <c r="J17" t="str">
        <f t="shared" si="1"/>
        <v>V</v>
      </c>
    </row>
    <row r="18" spans="1:10" x14ac:dyDescent="0.25">
      <c r="A18" s="5">
        <v>0.51388888888888895</v>
      </c>
      <c r="B18" t="str">
        <f t="shared" si="0"/>
        <v>D</v>
      </c>
      <c r="C18" s="1" t="s">
        <v>24</v>
      </c>
      <c r="D18" s="2">
        <v>0</v>
      </c>
      <c r="E18" s="3" t="s">
        <v>3</v>
      </c>
      <c r="F18" s="2">
        <v>1</v>
      </c>
      <c r="G18" s="25" t="s">
        <v>23</v>
      </c>
      <c r="H18" s="26"/>
      <c r="I18" s="26"/>
      <c r="J18" t="str">
        <f t="shared" si="1"/>
        <v>V</v>
      </c>
    </row>
    <row r="19" spans="1:10" x14ac:dyDescent="0.25">
      <c r="A19" s="5">
        <v>0.5625</v>
      </c>
      <c r="B19" t="str">
        <f t="shared" si="0"/>
        <v>V</v>
      </c>
      <c r="C19" s="1" t="s">
        <v>17</v>
      </c>
      <c r="D19" s="2">
        <v>6</v>
      </c>
      <c r="E19" s="3" t="s">
        <v>3</v>
      </c>
      <c r="F19" s="2">
        <v>0</v>
      </c>
      <c r="G19" s="25" t="s">
        <v>21</v>
      </c>
      <c r="H19" s="26"/>
      <c r="I19" s="26"/>
      <c r="J19" t="str">
        <f t="shared" si="1"/>
        <v>D</v>
      </c>
    </row>
    <row r="20" spans="1:10" x14ac:dyDescent="0.25">
      <c r="A20" s="5">
        <v>0.57986111111111116</v>
      </c>
      <c r="B20" t="str">
        <f t="shared" si="0"/>
        <v>V</v>
      </c>
      <c r="C20" s="1" t="s">
        <v>18</v>
      </c>
      <c r="D20" s="2">
        <v>3</v>
      </c>
      <c r="E20" s="3" t="s">
        <v>3</v>
      </c>
      <c r="F20" s="2">
        <v>1</v>
      </c>
      <c r="G20" s="25" t="s">
        <v>19</v>
      </c>
      <c r="H20" s="26"/>
      <c r="I20" s="26"/>
      <c r="J20" t="str">
        <f t="shared" si="1"/>
        <v>D</v>
      </c>
    </row>
    <row r="21" spans="1:10" x14ac:dyDescent="0.25">
      <c r="A21" s="5">
        <v>0.59722222222222232</v>
      </c>
      <c r="B21" t="str">
        <f t="shared" si="0"/>
        <v>V</v>
      </c>
      <c r="C21" s="1" t="s">
        <v>1</v>
      </c>
      <c r="D21" s="2">
        <v>5</v>
      </c>
      <c r="E21" s="3" t="s">
        <v>3</v>
      </c>
      <c r="F21" s="2">
        <v>0</v>
      </c>
      <c r="G21" s="25" t="s">
        <v>30</v>
      </c>
      <c r="H21" s="26"/>
      <c r="I21" s="26"/>
      <c r="J21" t="str">
        <f t="shared" si="1"/>
        <v>D</v>
      </c>
    </row>
    <row r="22" spans="1:10" x14ac:dyDescent="0.25">
      <c r="A22" s="5">
        <v>0.61458333333333348</v>
      </c>
      <c r="B22" t="str">
        <f t="shared" si="0"/>
        <v>D</v>
      </c>
      <c r="C22" s="1" t="s">
        <v>0</v>
      </c>
      <c r="D22" s="2">
        <v>1</v>
      </c>
      <c r="E22" s="3" t="s">
        <v>3</v>
      </c>
      <c r="F22" s="2">
        <v>4</v>
      </c>
      <c r="G22" s="25" t="s">
        <v>21</v>
      </c>
      <c r="H22" s="26"/>
      <c r="I22" s="26"/>
      <c r="J22" t="str">
        <f t="shared" si="1"/>
        <v>V</v>
      </c>
    </row>
    <row r="23" spans="1:10" x14ac:dyDescent="0.25">
      <c r="A23" s="5">
        <v>0.63194444444444464</v>
      </c>
      <c r="B23" t="str">
        <f t="shared" si="0"/>
        <v>D</v>
      </c>
      <c r="C23" s="1" t="s">
        <v>25</v>
      </c>
      <c r="D23" s="2">
        <v>0</v>
      </c>
      <c r="E23" s="3" t="s">
        <v>3</v>
      </c>
      <c r="F23" s="2">
        <v>1</v>
      </c>
      <c r="G23" s="25" t="s">
        <v>19</v>
      </c>
      <c r="H23" s="26"/>
      <c r="I23" s="26"/>
      <c r="J23" t="str">
        <f t="shared" si="1"/>
        <v>V</v>
      </c>
    </row>
    <row r="24" spans="1:10" x14ac:dyDescent="0.25">
      <c r="A24" s="5">
        <v>0.6493055555555558</v>
      </c>
      <c r="B24" t="str">
        <f t="shared" si="0"/>
        <v>V</v>
      </c>
      <c r="C24" s="1" t="s">
        <v>1</v>
      </c>
      <c r="D24" s="2">
        <v>4</v>
      </c>
      <c r="E24" s="3" t="s">
        <v>3</v>
      </c>
      <c r="F24" s="2">
        <v>0</v>
      </c>
      <c r="G24" s="25" t="s">
        <v>2</v>
      </c>
      <c r="H24" s="26"/>
      <c r="I24" s="26"/>
      <c r="J24" t="str">
        <f t="shared" si="1"/>
        <v>D</v>
      </c>
    </row>
    <row r="25" spans="1:10" x14ac:dyDescent="0.25">
      <c r="B25" t="str">
        <f t="shared" si="0"/>
        <v>-</v>
      </c>
      <c r="C25" s="1"/>
      <c r="D25" s="2"/>
      <c r="E25" s="3" t="s">
        <v>3</v>
      </c>
      <c r="F25" s="2"/>
      <c r="G25" s="25"/>
      <c r="H25" s="26"/>
      <c r="I25" s="26"/>
      <c r="J25" t="str">
        <f t="shared" si="1"/>
        <v>-</v>
      </c>
    </row>
    <row r="26" spans="1:10" x14ac:dyDescent="0.25">
      <c r="A26" s="5">
        <v>0.375</v>
      </c>
      <c r="B26" t="str">
        <f t="shared" ref="B26:B40" si="2">IF(D26="","-",IF(D26=F26,"E",IF(D26&gt;F26,"V","D")))</f>
        <v>D</v>
      </c>
      <c r="C26" s="1" t="s">
        <v>25</v>
      </c>
      <c r="D26" s="2">
        <v>1</v>
      </c>
      <c r="E26" s="3">
        <v>3</v>
      </c>
      <c r="F26" s="2">
        <v>3</v>
      </c>
      <c r="G26" s="25" t="s">
        <v>18</v>
      </c>
      <c r="H26" s="26"/>
      <c r="I26" s="26"/>
      <c r="J26" t="str">
        <f t="shared" ref="J26:J40" si="3">IF(F26="","-",IF(F26=D26,"E",IF(F26&gt;D26,"V","D")))</f>
        <v>V</v>
      </c>
    </row>
    <row r="27" spans="1:10" x14ac:dyDescent="0.25">
      <c r="A27" s="5">
        <v>0.3923611111111111</v>
      </c>
      <c r="B27" t="str">
        <f t="shared" si="2"/>
        <v>D</v>
      </c>
      <c r="C27" s="1" t="s">
        <v>21</v>
      </c>
      <c r="D27" s="2">
        <v>1</v>
      </c>
      <c r="E27" s="3" t="s">
        <v>3</v>
      </c>
      <c r="F27" s="2">
        <v>2</v>
      </c>
      <c r="G27" s="25" t="s">
        <v>22</v>
      </c>
      <c r="H27" s="26"/>
      <c r="I27" s="26"/>
      <c r="J27" t="str">
        <f t="shared" si="3"/>
        <v>V</v>
      </c>
    </row>
    <row r="28" spans="1:10" x14ac:dyDescent="0.25">
      <c r="A28" s="5">
        <v>0.40972222222222227</v>
      </c>
      <c r="B28" t="str">
        <f t="shared" si="2"/>
        <v>V</v>
      </c>
      <c r="C28" s="1" t="s">
        <v>19</v>
      </c>
      <c r="D28" s="2">
        <v>2</v>
      </c>
      <c r="E28" s="3" t="s">
        <v>3</v>
      </c>
      <c r="F28" s="2">
        <v>0</v>
      </c>
      <c r="G28" s="25" t="s">
        <v>26</v>
      </c>
      <c r="H28" s="26"/>
      <c r="I28" s="26"/>
      <c r="J28" t="str">
        <f t="shared" si="3"/>
        <v>D</v>
      </c>
    </row>
    <row r="29" spans="1:10" x14ac:dyDescent="0.25">
      <c r="A29" s="5">
        <v>0.42708333333333331</v>
      </c>
      <c r="B29" t="str">
        <f t="shared" si="2"/>
        <v>D</v>
      </c>
      <c r="C29" s="1" t="s">
        <v>23</v>
      </c>
      <c r="D29" s="2">
        <v>0</v>
      </c>
      <c r="E29" s="3" t="s">
        <v>3</v>
      </c>
      <c r="F29" s="2">
        <v>8</v>
      </c>
      <c r="G29" s="25" t="s">
        <v>1</v>
      </c>
      <c r="H29" s="26"/>
      <c r="I29" s="26"/>
      <c r="J29" t="str">
        <f t="shared" si="3"/>
        <v>V</v>
      </c>
    </row>
    <row r="30" spans="1:10" x14ac:dyDescent="0.25">
      <c r="A30" s="5">
        <v>0.44444444444444442</v>
      </c>
      <c r="B30" t="str">
        <f t="shared" si="2"/>
        <v>D</v>
      </c>
      <c r="C30" s="1" t="s">
        <v>22</v>
      </c>
      <c r="D30" s="2">
        <v>1</v>
      </c>
      <c r="E30" s="3" t="s">
        <v>3</v>
      </c>
      <c r="F30" s="2">
        <v>3</v>
      </c>
      <c r="G30" s="25" t="s">
        <v>17</v>
      </c>
      <c r="H30" s="26"/>
      <c r="I30" s="26"/>
      <c r="J30" t="str">
        <f t="shared" si="3"/>
        <v>V</v>
      </c>
    </row>
    <row r="31" spans="1:10" x14ac:dyDescent="0.25">
      <c r="A31" s="5">
        <v>0.46180555555555558</v>
      </c>
      <c r="B31" t="str">
        <f t="shared" si="2"/>
        <v>D</v>
      </c>
      <c r="C31" s="1" t="s">
        <v>26</v>
      </c>
      <c r="D31" s="2">
        <v>1</v>
      </c>
      <c r="E31" s="3" t="s">
        <v>3</v>
      </c>
      <c r="F31" s="2">
        <v>2</v>
      </c>
      <c r="G31" s="25" t="s">
        <v>18</v>
      </c>
      <c r="H31" s="26"/>
      <c r="I31" s="26"/>
      <c r="J31" t="str">
        <f t="shared" si="3"/>
        <v>V</v>
      </c>
    </row>
    <row r="32" spans="1:10" x14ac:dyDescent="0.25">
      <c r="A32" s="5">
        <v>0.47916666666666669</v>
      </c>
      <c r="B32" t="str">
        <f t="shared" si="2"/>
        <v>V</v>
      </c>
      <c r="C32" s="1" t="s">
        <v>21</v>
      </c>
      <c r="D32" s="2">
        <v>2</v>
      </c>
      <c r="E32" s="3" t="s">
        <v>3</v>
      </c>
      <c r="F32" s="2">
        <v>0</v>
      </c>
      <c r="G32" s="25" t="s">
        <v>20</v>
      </c>
      <c r="H32" s="26"/>
      <c r="I32" s="26"/>
      <c r="J32" t="str">
        <f t="shared" si="3"/>
        <v>D</v>
      </c>
    </row>
    <row r="33" spans="1:10" x14ac:dyDescent="0.25">
      <c r="A33" s="5">
        <v>0.49652777777777773</v>
      </c>
      <c r="B33" t="str">
        <f t="shared" si="2"/>
        <v>V</v>
      </c>
      <c r="C33" s="1" t="s">
        <v>22</v>
      </c>
      <c r="D33" s="2">
        <v>3</v>
      </c>
      <c r="E33" s="3" t="s">
        <v>3</v>
      </c>
      <c r="F33" s="2">
        <v>1</v>
      </c>
      <c r="G33" s="25" t="s">
        <v>0</v>
      </c>
      <c r="H33" s="26"/>
      <c r="I33" s="26"/>
      <c r="J33" t="str">
        <f t="shared" si="3"/>
        <v>D</v>
      </c>
    </row>
    <row r="34" spans="1:10" x14ac:dyDescent="0.25">
      <c r="A34" s="5">
        <v>0.51388888888888895</v>
      </c>
      <c r="B34" t="str">
        <f t="shared" si="2"/>
        <v>V</v>
      </c>
      <c r="C34" s="1" t="s">
        <v>26</v>
      </c>
      <c r="D34" s="2">
        <v>1</v>
      </c>
      <c r="E34" s="3" t="s">
        <v>3</v>
      </c>
      <c r="F34" s="2">
        <v>0</v>
      </c>
      <c r="G34" s="25" t="s">
        <v>25</v>
      </c>
      <c r="H34" s="26"/>
      <c r="I34" s="26"/>
      <c r="J34" t="str">
        <f t="shared" si="3"/>
        <v>D</v>
      </c>
    </row>
    <row r="35" spans="1:10" x14ac:dyDescent="0.25">
      <c r="A35" s="5">
        <v>0.5625</v>
      </c>
      <c r="B35" t="str">
        <f t="shared" si="2"/>
        <v>D</v>
      </c>
      <c r="C35" s="1" t="s">
        <v>14</v>
      </c>
      <c r="D35" s="2">
        <v>0</v>
      </c>
      <c r="E35" s="3" t="s">
        <v>3</v>
      </c>
      <c r="F35" s="2">
        <v>3</v>
      </c>
      <c r="G35" s="25" t="s">
        <v>2</v>
      </c>
      <c r="H35" s="26"/>
      <c r="I35" s="26"/>
      <c r="J35" t="str">
        <f t="shared" si="3"/>
        <v>V</v>
      </c>
    </row>
    <row r="36" spans="1:10" x14ac:dyDescent="0.25">
      <c r="A36" s="5">
        <v>0.57986111111111116</v>
      </c>
      <c r="B36" t="str">
        <f t="shared" si="2"/>
        <v>V</v>
      </c>
      <c r="C36" s="1" t="s">
        <v>20</v>
      </c>
      <c r="D36" s="2">
        <v>2</v>
      </c>
      <c r="E36" s="3" t="s">
        <v>3</v>
      </c>
      <c r="F36" s="2">
        <v>1</v>
      </c>
      <c r="G36" s="25" t="s">
        <v>22</v>
      </c>
      <c r="H36" s="26"/>
      <c r="I36" s="26"/>
      <c r="J36" t="str">
        <f t="shared" si="3"/>
        <v>D</v>
      </c>
    </row>
    <row r="37" spans="1:10" x14ac:dyDescent="0.25">
      <c r="A37" s="5">
        <v>0.59722222222222232</v>
      </c>
      <c r="B37" t="str">
        <f t="shared" si="2"/>
        <v>V</v>
      </c>
      <c r="C37" s="1" t="s">
        <v>15</v>
      </c>
      <c r="D37" s="2">
        <v>4</v>
      </c>
      <c r="E37" s="3" t="s">
        <v>3</v>
      </c>
      <c r="F37" s="2">
        <v>1</v>
      </c>
      <c r="G37" s="25" t="s">
        <v>26</v>
      </c>
      <c r="H37" s="26"/>
      <c r="I37" s="26"/>
      <c r="J37" t="str">
        <f t="shared" si="3"/>
        <v>D</v>
      </c>
    </row>
    <row r="38" spans="1:10" x14ac:dyDescent="0.25">
      <c r="A38" s="5">
        <v>0.61458333333333348</v>
      </c>
      <c r="B38" t="str">
        <f t="shared" si="2"/>
        <v>V</v>
      </c>
      <c r="C38" s="1" t="s">
        <v>23</v>
      </c>
      <c r="D38" s="2">
        <v>2</v>
      </c>
      <c r="E38" s="3" t="s">
        <v>3</v>
      </c>
      <c r="F38" s="2">
        <v>1</v>
      </c>
      <c r="G38" s="25" t="s">
        <v>14</v>
      </c>
      <c r="H38" s="26"/>
      <c r="I38" s="26"/>
      <c r="J38" t="str">
        <f t="shared" si="3"/>
        <v>D</v>
      </c>
    </row>
    <row r="39" spans="1:10" x14ac:dyDescent="0.25">
      <c r="A39" s="5">
        <v>0.63194444444444464</v>
      </c>
      <c r="B39" t="str">
        <f t="shared" si="2"/>
        <v>V</v>
      </c>
      <c r="C39" s="1" t="s">
        <v>17</v>
      </c>
      <c r="D39" s="2">
        <v>12</v>
      </c>
      <c r="E39" s="3" t="s">
        <v>3</v>
      </c>
      <c r="F39" s="2">
        <v>0</v>
      </c>
      <c r="G39" s="25" t="s">
        <v>20</v>
      </c>
      <c r="H39" s="26"/>
      <c r="I39" s="26"/>
      <c r="J39" t="str">
        <f t="shared" si="3"/>
        <v>D</v>
      </c>
    </row>
    <row r="40" spans="1:10" x14ac:dyDescent="0.25">
      <c r="A40" s="5">
        <v>0.6493055555555558</v>
      </c>
      <c r="B40" t="str">
        <f t="shared" si="2"/>
        <v>D</v>
      </c>
      <c r="C40" s="1" t="s">
        <v>18</v>
      </c>
      <c r="D40" s="2">
        <v>0</v>
      </c>
      <c r="E40" s="3" t="s">
        <v>3</v>
      </c>
      <c r="F40" s="2">
        <v>6</v>
      </c>
      <c r="G40" s="25" t="s">
        <v>15</v>
      </c>
      <c r="H40" s="26"/>
      <c r="I40" s="26"/>
      <c r="J40" t="str">
        <f t="shared" si="3"/>
        <v>V</v>
      </c>
    </row>
  </sheetData>
  <mergeCells count="32">
    <mergeCell ref="C1:K1"/>
    <mergeCell ref="G21:I21"/>
    <mergeCell ref="G22:I22"/>
    <mergeCell ref="G23:I23"/>
    <mergeCell ref="G24:I24"/>
    <mergeCell ref="G15:I15"/>
    <mergeCell ref="G16:I16"/>
    <mergeCell ref="G17:I17"/>
    <mergeCell ref="G18:I18"/>
    <mergeCell ref="G19:I19"/>
    <mergeCell ref="G20:I20"/>
    <mergeCell ref="G10:I10"/>
    <mergeCell ref="G11:I11"/>
    <mergeCell ref="G12:I12"/>
    <mergeCell ref="G13:I13"/>
    <mergeCell ref="G14:I14"/>
    <mergeCell ref="G25:I25"/>
    <mergeCell ref="G26:I26"/>
    <mergeCell ref="G37:I37"/>
    <mergeCell ref="G38:I38"/>
    <mergeCell ref="G39:I39"/>
    <mergeCell ref="G31:I31"/>
    <mergeCell ref="G27:I27"/>
    <mergeCell ref="G28:I28"/>
    <mergeCell ref="G29:I29"/>
    <mergeCell ref="G30:I30"/>
    <mergeCell ref="G40:I40"/>
    <mergeCell ref="G32:I32"/>
    <mergeCell ref="G33:I33"/>
    <mergeCell ref="G34:I34"/>
    <mergeCell ref="G35:I35"/>
    <mergeCell ref="G36:I36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lha3"/>
  <dimension ref="A1:K40"/>
  <sheetViews>
    <sheetView workbookViewId="0">
      <selection activeCell="D10" sqref="D10:F40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</cols>
  <sheetData>
    <row r="1" spans="1:11" s="4" customFormat="1" ht="18.75" x14ac:dyDescent="0.25">
      <c r="C1" s="27" t="s">
        <v>16</v>
      </c>
      <c r="D1" s="27"/>
      <c r="E1" s="27"/>
      <c r="F1" s="27"/>
      <c r="G1" s="27"/>
      <c r="H1" s="27"/>
      <c r="I1" s="27"/>
      <c r="J1" s="27"/>
      <c r="K1" s="28"/>
    </row>
    <row r="2" spans="1:11" s="4" customFormat="1" x14ac:dyDescent="0.25">
      <c r="C2" s="4" t="s">
        <v>12</v>
      </c>
      <c r="D2" s="4" t="s">
        <v>11</v>
      </c>
      <c r="E2" s="4" t="s">
        <v>7</v>
      </c>
      <c r="F2" s="4" t="s">
        <v>4</v>
      </c>
      <c r="G2" s="4" t="s">
        <v>5</v>
      </c>
      <c r="H2" s="4" t="s">
        <v>6</v>
      </c>
      <c r="I2" s="4" t="s">
        <v>8</v>
      </c>
      <c r="J2" s="4" t="s">
        <v>9</v>
      </c>
      <c r="K2" s="4" t="s">
        <v>10</v>
      </c>
    </row>
    <row r="3" spans="1:11" s="4" customFormat="1" x14ac:dyDescent="0.25">
      <c r="C3" s="6" t="s">
        <v>1</v>
      </c>
      <c r="D3" s="4">
        <f>F3*3+G3</f>
        <v>12</v>
      </c>
      <c r="E3" s="4">
        <f>SUM(F3:H3)</f>
        <v>4</v>
      </c>
      <c r="F3" s="4">
        <f>COUNTIF($B$21,"V")+COUNTIF($B$24,"V")+COUNTIF($J$16,"V")+COUNTIF($J$29,"V")</f>
        <v>4</v>
      </c>
      <c r="G3" s="4">
        <f>COUNTIF($B$21,"E")+COUNTIF($B$24,"E")+COUNTIF($J$16,"E")+COUNTIF($J$29,"E")</f>
        <v>0</v>
      </c>
      <c r="H3" s="4">
        <f>COUNTIF($B$21,"D")+COUNTIF($B$24,"D")+COUNTIF($J$16,"D")+COUNTIF($J$29,"D")</f>
        <v>0</v>
      </c>
      <c r="I3" s="4">
        <f>$D$21+$F$16+$F$29+$D$24</f>
        <v>32</v>
      </c>
      <c r="J3" s="4">
        <f>$F$21+$D$16+$D$29+$F$24</f>
        <v>0</v>
      </c>
      <c r="K3" s="4">
        <f>I3-J3</f>
        <v>32</v>
      </c>
    </row>
    <row r="4" spans="1:11" s="4" customFormat="1" x14ac:dyDescent="0.25">
      <c r="C4" s="6" t="s">
        <v>2</v>
      </c>
      <c r="D4" s="4">
        <f>F4*3+G4</f>
        <v>9</v>
      </c>
      <c r="E4" s="4">
        <f>SUM(F4:H4)</f>
        <v>4</v>
      </c>
      <c r="F4" s="4">
        <f>COUNTIF($B$11,"V")+COUNTIF($B$15,"V")+COUNTIF($J$24,"V")+COUNTIF($J$35,"V")</f>
        <v>3</v>
      </c>
      <c r="G4" s="4">
        <f>COUNTIF($B$11,"E")+COUNTIF($B$15,"E")+COUNTIF($J$24,"E")+COUNTIF($J$35,"E")</f>
        <v>0</v>
      </c>
      <c r="H4" s="4">
        <f>COUNTIF($B$11,"D")+COUNTIF($B$15,"D")+COUNTIF($J$24,"D")+COUNTIF($J$35,"D")</f>
        <v>1</v>
      </c>
      <c r="I4" s="4">
        <f>$D$11+$F$24+$F$35+$D$15</f>
        <v>14</v>
      </c>
      <c r="J4" s="4">
        <f>$F$11+$D$24+$D$35+$F$15</f>
        <v>5</v>
      </c>
      <c r="K4" s="4">
        <f>I4-J4</f>
        <v>9</v>
      </c>
    </row>
    <row r="5" spans="1:11" s="4" customFormat="1" x14ac:dyDescent="0.25">
      <c r="C5" s="6" t="s">
        <v>23</v>
      </c>
      <c r="D5" s="4">
        <f>F5*3+G5</f>
        <v>6</v>
      </c>
      <c r="E5" s="4">
        <f>SUM(F5:H5)</f>
        <v>4</v>
      </c>
      <c r="F5" s="4">
        <f>COUNTIF($B$29,"V")+COUNTIF($B$38,"V")+COUNTIF($J$11,"V")+COUNTIF($J$18,"V")</f>
        <v>2</v>
      </c>
      <c r="G5" s="4">
        <f>COUNTIF($B$29,"E")+COUNTIF($B$38,"E")+COUNTIF($J$11,"E")+COUNTIF($J$18,"E")</f>
        <v>0</v>
      </c>
      <c r="H5" s="4">
        <f>COUNTIF($B$29,"D")+COUNTIF($B$38,"D")+COUNTIF($J$11,"D")+COUNTIF($J$18,"D")</f>
        <v>2</v>
      </c>
      <c r="I5" s="4">
        <f>$F$11+$F$18+$D$29+$D$38</f>
        <v>4</v>
      </c>
      <c r="J5" s="4">
        <f>$D$11+$D$18+$F$29+$F$38</f>
        <v>13</v>
      </c>
      <c r="K5" s="4">
        <f>I5-J5</f>
        <v>-9</v>
      </c>
    </row>
    <row r="6" spans="1:11" s="4" customFormat="1" x14ac:dyDescent="0.25">
      <c r="C6" s="6" t="s">
        <v>30</v>
      </c>
      <c r="D6" s="4">
        <f>F6*3+G6</f>
        <v>3</v>
      </c>
      <c r="E6" s="4">
        <f>SUM(F6:H6)</f>
        <v>4</v>
      </c>
      <c r="F6" s="4">
        <f>COUNTIF($B$12,"V")+COUNTIF($B$18,"V")+COUNTIF($J$15,"V")+COUNTIF($J$21,"V")</f>
        <v>1</v>
      </c>
      <c r="G6" s="4">
        <f>COUNTIF($B$12,"E")+COUNTIF($B$18,"E")+COUNTIF($J$15,"E")+COUNTIF($J$21,"E")</f>
        <v>0</v>
      </c>
      <c r="H6" s="4">
        <f>COUNTIF($B$12,"D")+COUNTIF($B$18,"D")+COUNTIF($J$15,"D")+COUNTIF($J$21,"D")</f>
        <v>3</v>
      </c>
      <c r="I6" s="4">
        <f>$F$15+$D$18+$D$12+$F$21</f>
        <v>1</v>
      </c>
      <c r="J6" s="4">
        <f>$D$15+$F$18+$F$12+$D$21</f>
        <v>13</v>
      </c>
      <c r="K6" s="4">
        <f>I6-J6</f>
        <v>-12</v>
      </c>
    </row>
    <row r="7" spans="1:11" s="4" customFormat="1" x14ac:dyDescent="0.25">
      <c r="C7" s="6" t="s">
        <v>14</v>
      </c>
      <c r="D7" s="4">
        <f>F7*3+G7</f>
        <v>0</v>
      </c>
      <c r="E7" s="4">
        <f>SUM(F7:H7)</f>
        <v>4</v>
      </c>
      <c r="F7" s="4">
        <f>COUNTIF($B$16,"V")+COUNTIF($B$35,"V")+COUNTIF($J$12,"V")+COUNTIF($J$38,"V")</f>
        <v>0</v>
      </c>
      <c r="G7" s="4">
        <f>COUNTIF($B$16,"E")+COUNTIF($B$35,"E")+COUNTIF($J$12,"E")+COUNTIF($J$38,"E")</f>
        <v>0</v>
      </c>
      <c r="H7" s="4">
        <f>COUNTIF($B$16,"D")+COUNTIF($B$35,"D")+COUNTIF($J$12,"D")+COUNTIF($J$38,"D")</f>
        <v>4</v>
      </c>
      <c r="I7" s="4">
        <f>$F$38+$D$35+$D$16+$F$12</f>
        <v>1</v>
      </c>
      <c r="J7" s="4">
        <f>$D$38+$F$35+$F$16+$D$12</f>
        <v>21</v>
      </c>
      <c r="K7" s="4">
        <f>I7-J7</f>
        <v>-20</v>
      </c>
    </row>
    <row r="10" spans="1:11" x14ac:dyDescent="0.25">
      <c r="A10" s="5">
        <v>0.375</v>
      </c>
      <c r="B10" t="str">
        <f>IF(D10="","-",IF(D10=F10,"E",IF(D10&gt;F10,"V","D")))</f>
        <v>D</v>
      </c>
      <c r="C10" s="1" t="s">
        <v>0</v>
      </c>
      <c r="D10" s="2">
        <v>0</v>
      </c>
      <c r="E10" s="3" t="s">
        <v>3</v>
      </c>
      <c r="F10" s="2">
        <v>8</v>
      </c>
      <c r="G10" s="25" t="s">
        <v>17</v>
      </c>
      <c r="H10" s="26"/>
      <c r="I10" s="26"/>
      <c r="J10" t="str">
        <f>IF(F10="","-",IF(F10=D10,"E",IF(F10&gt;D10,"V","D")))</f>
        <v>V</v>
      </c>
    </row>
    <row r="11" spans="1:11" x14ac:dyDescent="0.25">
      <c r="A11" s="5">
        <v>0.3923611111111111</v>
      </c>
      <c r="B11" t="str">
        <f t="shared" ref="B11:B40" si="0">IF(D11="","-",IF(D11=F11,"E",IF(D11&gt;F11,"V","D")))</f>
        <v>V</v>
      </c>
      <c r="C11" s="1" t="s">
        <v>2</v>
      </c>
      <c r="D11" s="2">
        <v>4</v>
      </c>
      <c r="E11" s="3" t="s">
        <v>3</v>
      </c>
      <c r="F11" s="2">
        <v>1</v>
      </c>
      <c r="G11" s="25" t="s">
        <v>23</v>
      </c>
      <c r="H11" s="26"/>
      <c r="I11" s="26"/>
      <c r="J11" t="str">
        <f t="shared" ref="J11:J40" si="1">IF(F11="","-",IF(F11=D11,"E",IF(F11&gt;D11,"V","D")))</f>
        <v>D</v>
      </c>
    </row>
    <row r="12" spans="1:11" x14ac:dyDescent="0.25">
      <c r="A12" s="5">
        <v>0.40972222222222227</v>
      </c>
      <c r="B12" t="str">
        <f t="shared" si="0"/>
        <v>V</v>
      </c>
      <c r="C12" s="1" t="s">
        <v>24</v>
      </c>
      <c r="D12" s="2">
        <v>1</v>
      </c>
      <c r="E12" s="3" t="s">
        <v>3</v>
      </c>
      <c r="F12" s="2">
        <v>0</v>
      </c>
      <c r="G12" s="25" t="s">
        <v>14</v>
      </c>
      <c r="H12" s="26"/>
      <c r="I12" s="26"/>
      <c r="J12" t="str">
        <f t="shared" si="1"/>
        <v>D</v>
      </c>
    </row>
    <row r="13" spans="1:11" x14ac:dyDescent="0.25">
      <c r="A13" s="5">
        <v>0.42708333333333331</v>
      </c>
      <c r="B13" t="str">
        <f t="shared" si="0"/>
        <v>V</v>
      </c>
      <c r="C13" s="1" t="s">
        <v>20</v>
      </c>
      <c r="D13" s="2">
        <v>4</v>
      </c>
      <c r="E13" s="3" t="s">
        <v>3</v>
      </c>
      <c r="F13" s="2">
        <v>1</v>
      </c>
      <c r="G13" s="25" t="s">
        <v>0</v>
      </c>
      <c r="H13" s="26"/>
      <c r="I13" s="26"/>
      <c r="J13" t="str">
        <f t="shared" si="1"/>
        <v>D</v>
      </c>
    </row>
    <row r="14" spans="1:11" x14ac:dyDescent="0.25">
      <c r="A14" s="5">
        <v>0.44444444444444442</v>
      </c>
      <c r="B14" t="str">
        <f t="shared" si="0"/>
        <v>V</v>
      </c>
      <c r="C14" s="1" t="s">
        <v>15</v>
      </c>
      <c r="D14" s="2">
        <v>4</v>
      </c>
      <c r="E14" s="3" t="s">
        <v>3</v>
      </c>
      <c r="F14" s="2">
        <v>0</v>
      </c>
      <c r="G14" s="25" t="s">
        <v>25</v>
      </c>
      <c r="H14" s="26"/>
      <c r="I14" s="26"/>
      <c r="J14" t="str">
        <f t="shared" si="1"/>
        <v>D</v>
      </c>
    </row>
    <row r="15" spans="1:11" x14ac:dyDescent="0.25">
      <c r="A15" s="5">
        <v>0.46180555555555558</v>
      </c>
      <c r="B15" t="str">
        <f t="shared" si="0"/>
        <v>V</v>
      </c>
      <c r="C15" s="1" t="s">
        <v>2</v>
      </c>
      <c r="D15" s="2">
        <v>7</v>
      </c>
      <c r="E15" s="3" t="s">
        <v>3</v>
      </c>
      <c r="F15" s="2">
        <v>0</v>
      </c>
      <c r="G15" s="25" t="s">
        <v>24</v>
      </c>
      <c r="H15" s="26"/>
      <c r="I15" s="26"/>
      <c r="J15" t="str">
        <f t="shared" si="1"/>
        <v>D</v>
      </c>
    </row>
    <row r="16" spans="1:11" x14ac:dyDescent="0.25">
      <c r="A16" s="5">
        <v>0.47916666666666669</v>
      </c>
      <c r="B16" t="str">
        <f t="shared" si="0"/>
        <v>D</v>
      </c>
      <c r="C16" s="1" t="s">
        <v>14</v>
      </c>
      <c r="D16" s="2">
        <v>0</v>
      </c>
      <c r="E16" s="3" t="s">
        <v>3</v>
      </c>
      <c r="F16" s="2">
        <v>15</v>
      </c>
      <c r="G16" s="25" t="s">
        <v>1</v>
      </c>
      <c r="H16" s="26"/>
      <c r="I16" s="26"/>
      <c r="J16" t="str">
        <f t="shared" si="1"/>
        <v>V</v>
      </c>
    </row>
    <row r="17" spans="1:10" x14ac:dyDescent="0.25">
      <c r="A17" s="5">
        <v>0.49652777777777773</v>
      </c>
      <c r="B17" t="str">
        <f t="shared" si="0"/>
        <v>D</v>
      </c>
      <c r="C17" s="1" t="s">
        <v>19</v>
      </c>
      <c r="D17" s="2">
        <v>0</v>
      </c>
      <c r="E17" s="3" t="s">
        <v>3</v>
      </c>
      <c r="F17" s="2">
        <v>7</v>
      </c>
      <c r="G17" s="25" t="s">
        <v>15</v>
      </c>
      <c r="H17" s="26"/>
      <c r="I17" s="26"/>
      <c r="J17" t="str">
        <f t="shared" si="1"/>
        <v>V</v>
      </c>
    </row>
    <row r="18" spans="1:10" x14ac:dyDescent="0.25">
      <c r="A18" s="5">
        <v>0.51388888888888895</v>
      </c>
      <c r="B18" t="str">
        <f t="shared" si="0"/>
        <v>D</v>
      </c>
      <c r="C18" s="1" t="s">
        <v>24</v>
      </c>
      <c r="D18" s="2">
        <v>0</v>
      </c>
      <c r="E18" s="3" t="s">
        <v>3</v>
      </c>
      <c r="F18" s="2">
        <v>1</v>
      </c>
      <c r="G18" s="25" t="s">
        <v>23</v>
      </c>
      <c r="H18" s="26"/>
      <c r="I18" s="26"/>
      <c r="J18" t="str">
        <f t="shared" si="1"/>
        <v>V</v>
      </c>
    </row>
    <row r="19" spans="1:10" x14ac:dyDescent="0.25">
      <c r="A19" s="5">
        <v>0.5625</v>
      </c>
      <c r="B19" t="str">
        <f t="shared" si="0"/>
        <v>V</v>
      </c>
      <c r="C19" s="1" t="s">
        <v>17</v>
      </c>
      <c r="D19" s="2">
        <v>6</v>
      </c>
      <c r="E19" s="3" t="s">
        <v>3</v>
      </c>
      <c r="F19" s="2">
        <v>0</v>
      </c>
      <c r="G19" s="25" t="s">
        <v>21</v>
      </c>
      <c r="H19" s="26"/>
      <c r="I19" s="26"/>
      <c r="J19" t="str">
        <f t="shared" si="1"/>
        <v>D</v>
      </c>
    </row>
    <row r="20" spans="1:10" x14ac:dyDescent="0.25">
      <c r="A20" s="5">
        <v>0.57986111111111116</v>
      </c>
      <c r="B20" t="str">
        <f t="shared" si="0"/>
        <v>V</v>
      </c>
      <c r="C20" s="1" t="s">
        <v>18</v>
      </c>
      <c r="D20" s="2">
        <v>3</v>
      </c>
      <c r="E20" s="3" t="s">
        <v>3</v>
      </c>
      <c r="F20" s="2">
        <v>1</v>
      </c>
      <c r="G20" s="25" t="s">
        <v>19</v>
      </c>
      <c r="H20" s="26"/>
      <c r="I20" s="26"/>
      <c r="J20" t="str">
        <f t="shared" si="1"/>
        <v>D</v>
      </c>
    </row>
    <row r="21" spans="1:10" x14ac:dyDescent="0.25">
      <c r="A21" s="5">
        <v>0.59722222222222232</v>
      </c>
      <c r="B21" t="str">
        <f t="shared" si="0"/>
        <v>V</v>
      </c>
      <c r="C21" s="1" t="s">
        <v>1</v>
      </c>
      <c r="D21" s="2">
        <v>5</v>
      </c>
      <c r="E21" s="3" t="s">
        <v>3</v>
      </c>
      <c r="F21" s="2">
        <v>0</v>
      </c>
      <c r="G21" s="25" t="s">
        <v>30</v>
      </c>
      <c r="H21" s="26"/>
      <c r="I21" s="26"/>
      <c r="J21" t="str">
        <f t="shared" si="1"/>
        <v>D</v>
      </c>
    </row>
    <row r="22" spans="1:10" x14ac:dyDescent="0.25">
      <c r="A22" s="5">
        <v>0.61458333333333348</v>
      </c>
      <c r="B22" t="str">
        <f t="shared" si="0"/>
        <v>D</v>
      </c>
      <c r="C22" s="1" t="s">
        <v>0</v>
      </c>
      <c r="D22" s="2">
        <v>1</v>
      </c>
      <c r="E22" s="3" t="s">
        <v>3</v>
      </c>
      <c r="F22" s="2">
        <v>4</v>
      </c>
      <c r="G22" s="25" t="s">
        <v>21</v>
      </c>
      <c r="H22" s="26"/>
      <c r="I22" s="26"/>
      <c r="J22" t="str">
        <f t="shared" si="1"/>
        <v>V</v>
      </c>
    </row>
    <row r="23" spans="1:10" x14ac:dyDescent="0.25">
      <c r="A23" s="5">
        <v>0.63194444444444464</v>
      </c>
      <c r="B23" t="str">
        <f t="shared" si="0"/>
        <v>D</v>
      </c>
      <c r="C23" s="1" t="s">
        <v>25</v>
      </c>
      <c r="D23" s="2">
        <v>0</v>
      </c>
      <c r="E23" s="3" t="s">
        <v>3</v>
      </c>
      <c r="F23" s="2">
        <v>1</v>
      </c>
      <c r="G23" s="25" t="s">
        <v>19</v>
      </c>
      <c r="H23" s="26"/>
      <c r="I23" s="26"/>
      <c r="J23" t="str">
        <f t="shared" si="1"/>
        <v>V</v>
      </c>
    </row>
    <row r="24" spans="1:10" x14ac:dyDescent="0.25">
      <c r="A24" s="5">
        <v>0.6493055555555558</v>
      </c>
      <c r="B24" t="str">
        <f t="shared" si="0"/>
        <v>V</v>
      </c>
      <c r="C24" s="1" t="s">
        <v>1</v>
      </c>
      <c r="D24" s="2">
        <v>4</v>
      </c>
      <c r="E24" s="3" t="s">
        <v>3</v>
      </c>
      <c r="F24" s="2">
        <v>0</v>
      </c>
      <c r="G24" s="25" t="s">
        <v>2</v>
      </c>
      <c r="H24" s="26"/>
      <c r="I24" s="26"/>
      <c r="J24" t="str">
        <f t="shared" si="1"/>
        <v>D</v>
      </c>
    </row>
    <row r="25" spans="1:10" x14ac:dyDescent="0.25">
      <c r="B25" t="str">
        <f t="shared" si="0"/>
        <v>-</v>
      </c>
      <c r="C25" s="1"/>
      <c r="D25" s="2"/>
      <c r="E25" s="3" t="s">
        <v>3</v>
      </c>
      <c r="F25" s="2"/>
      <c r="G25" s="25"/>
      <c r="H25" s="26"/>
      <c r="I25" s="26"/>
      <c r="J25" t="str">
        <f t="shared" si="1"/>
        <v>-</v>
      </c>
    </row>
    <row r="26" spans="1:10" x14ac:dyDescent="0.25">
      <c r="A26" s="5">
        <v>0.375</v>
      </c>
      <c r="B26" t="str">
        <f t="shared" si="0"/>
        <v>D</v>
      </c>
      <c r="C26" s="1" t="s">
        <v>25</v>
      </c>
      <c r="D26" s="2">
        <v>1</v>
      </c>
      <c r="E26" s="3">
        <v>3</v>
      </c>
      <c r="F26" s="2">
        <v>3</v>
      </c>
      <c r="G26" s="25" t="s">
        <v>18</v>
      </c>
      <c r="H26" s="26"/>
      <c r="I26" s="26"/>
      <c r="J26" t="str">
        <f t="shared" si="1"/>
        <v>V</v>
      </c>
    </row>
    <row r="27" spans="1:10" x14ac:dyDescent="0.25">
      <c r="A27" s="5">
        <v>0.3923611111111111</v>
      </c>
      <c r="B27" t="str">
        <f t="shared" si="0"/>
        <v>D</v>
      </c>
      <c r="C27" s="1" t="s">
        <v>21</v>
      </c>
      <c r="D27" s="2">
        <v>1</v>
      </c>
      <c r="E27" s="3" t="s">
        <v>3</v>
      </c>
      <c r="F27" s="2">
        <v>2</v>
      </c>
      <c r="G27" s="25" t="s">
        <v>22</v>
      </c>
      <c r="H27" s="26"/>
      <c r="I27" s="26"/>
      <c r="J27" t="str">
        <f t="shared" si="1"/>
        <v>V</v>
      </c>
    </row>
    <row r="28" spans="1:10" x14ac:dyDescent="0.25">
      <c r="A28" s="5">
        <v>0.40972222222222227</v>
      </c>
      <c r="B28" t="str">
        <f t="shared" si="0"/>
        <v>V</v>
      </c>
      <c r="C28" s="1" t="s">
        <v>19</v>
      </c>
      <c r="D28" s="2">
        <v>2</v>
      </c>
      <c r="E28" s="3" t="s">
        <v>3</v>
      </c>
      <c r="F28" s="2">
        <v>0</v>
      </c>
      <c r="G28" s="25" t="s">
        <v>26</v>
      </c>
      <c r="H28" s="26"/>
      <c r="I28" s="26"/>
      <c r="J28" t="str">
        <f t="shared" si="1"/>
        <v>D</v>
      </c>
    </row>
    <row r="29" spans="1:10" x14ac:dyDescent="0.25">
      <c r="A29" s="5">
        <v>0.42708333333333331</v>
      </c>
      <c r="B29" t="str">
        <f t="shared" si="0"/>
        <v>D</v>
      </c>
      <c r="C29" s="1" t="s">
        <v>23</v>
      </c>
      <c r="D29" s="2">
        <v>0</v>
      </c>
      <c r="E29" s="3" t="s">
        <v>3</v>
      </c>
      <c r="F29" s="2">
        <v>8</v>
      </c>
      <c r="G29" s="25" t="s">
        <v>1</v>
      </c>
      <c r="H29" s="26"/>
      <c r="I29" s="26"/>
      <c r="J29" t="str">
        <f t="shared" si="1"/>
        <v>V</v>
      </c>
    </row>
    <row r="30" spans="1:10" x14ac:dyDescent="0.25">
      <c r="A30" s="5">
        <v>0.44444444444444442</v>
      </c>
      <c r="B30" t="str">
        <f t="shared" si="0"/>
        <v>D</v>
      </c>
      <c r="C30" s="1" t="s">
        <v>22</v>
      </c>
      <c r="D30" s="2">
        <v>1</v>
      </c>
      <c r="E30" s="3" t="s">
        <v>3</v>
      </c>
      <c r="F30" s="2">
        <v>3</v>
      </c>
      <c r="G30" s="25" t="s">
        <v>17</v>
      </c>
      <c r="H30" s="26"/>
      <c r="I30" s="26"/>
      <c r="J30" t="str">
        <f t="shared" si="1"/>
        <v>V</v>
      </c>
    </row>
    <row r="31" spans="1:10" x14ac:dyDescent="0.25">
      <c r="A31" s="5">
        <v>0.46180555555555558</v>
      </c>
      <c r="B31" t="str">
        <f t="shared" si="0"/>
        <v>D</v>
      </c>
      <c r="C31" s="1" t="s">
        <v>26</v>
      </c>
      <c r="D31" s="2">
        <v>1</v>
      </c>
      <c r="E31" s="3" t="s">
        <v>3</v>
      </c>
      <c r="F31" s="2">
        <v>2</v>
      </c>
      <c r="G31" s="25" t="s">
        <v>18</v>
      </c>
      <c r="H31" s="26"/>
      <c r="I31" s="26"/>
      <c r="J31" t="str">
        <f t="shared" si="1"/>
        <v>V</v>
      </c>
    </row>
    <row r="32" spans="1:10" x14ac:dyDescent="0.25">
      <c r="A32" s="5">
        <v>0.47916666666666669</v>
      </c>
      <c r="B32" t="str">
        <f t="shared" si="0"/>
        <v>V</v>
      </c>
      <c r="C32" s="1" t="s">
        <v>21</v>
      </c>
      <c r="D32" s="2">
        <v>2</v>
      </c>
      <c r="E32" s="3" t="s">
        <v>3</v>
      </c>
      <c r="F32" s="2">
        <v>0</v>
      </c>
      <c r="G32" s="25" t="s">
        <v>20</v>
      </c>
      <c r="H32" s="26"/>
      <c r="I32" s="26"/>
      <c r="J32" t="str">
        <f t="shared" si="1"/>
        <v>D</v>
      </c>
    </row>
    <row r="33" spans="1:10" x14ac:dyDescent="0.25">
      <c r="A33" s="5">
        <v>0.49652777777777773</v>
      </c>
      <c r="B33" t="str">
        <f t="shared" si="0"/>
        <v>V</v>
      </c>
      <c r="C33" s="1" t="s">
        <v>22</v>
      </c>
      <c r="D33" s="2">
        <v>3</v>
      </c>
      <c r="E33" s="3" t="s">
        <v>3</v>
      </c>
      <c r="F33" s="2">
        <v>1</v>
      </c>
      <c r="G33" s="25" t="s">
        <v>0</v>
      </c>
      <c r="H33" s="26"/>
      <c r="I33" s="26"/>
      <c r="J33" t="str">
        <f t="shared" si="1"/>
        <v>D</v>
      </c>
    </row>
    <row r="34" spans="1:10" x14ac:dyDescent="0.25">
      <c r="A34" s="5">
        <v>0.51388888888888895</v>
      </c>
      <c r="B34" t="str">
        <f t="shared" si="0"/>
        <v>V</v>
      </c>
      <c r="C34" s="1" t="s">
        <v>26</v>
      </c>
      <c r="D34" s="2">
        <v>1</v>
      </c>
      <c r="E34" s="3" t="s">
        <v>3</v>
      </c>
      <c r="F34" s="2">
        <v>0</v>
      </c>
      <c r="G34" s="25" t="s">
        <v>25</v>
      </c>
      <c r="H34" s="26"/>
      <c r="I34" s="26"/>
      <c r="J34" t="str">
        <f t="shared" si="1"/>
        <v>D</v>
      </c>
    </row>
    <row r="35" spans="1:10" x14ac:dyDescent="0.25">
      <c r="A35" s="5">
        <v>0.5625</v>
      </c>
      <c r="B35" t="str">
        <f t="shared" si="0"/>
        <v>D</v>
      </c>
      <c r="C35" s="1" t="s">
        <v>14</v>
      </c>
      <c r="D35" s="2">
        <v>0</v>
      </c>
      <c r="E35" s="3" t="s">
        <v>3</v>
      </c>
      <c r="F35" s="2">
        <v>3</v>
      </c>
      <c r="G35" s="25" t="s">
        <v>2</v>
      </c>
      <c r="H35" s="26"/>
      <c r="I35" s="26"/>
      <c r="J35" t="str">
        <f t="shared" si="1"/>
        <v>V</v>
      </c>
    </row>
    <row r="36" spans="1:10" x14ac:dyDescent="0.25">
      <c r="A36" s="5">
        <v>0.57986111111111116</v>
      </c>
      <c r="B36" t="str">
        <f t="shared" si="0"/>
        <v>V</v>
      </c>
      <c r="C36" s="1" t="s">
        <v>20</v>
      </c>
      <c r="D36" s="2">
        <v>2</v>
      </c>
      <c r="E36" s="3" t="s">
        <v>3</v>
      </c>
      <c r="F36" s="2">
        <v>1</v>
      </c>
      <c r="G36" s="25" t="s">
        <v>22</v>
      </c>
      <c r="H36" s="26"/>
      <c r="I36" s="26"/>
      <c r="J36" t="str">
        <f t="shared" si="1"/>
        <v>D</v>
      </c>
    </row>
    <row r="37" spans="1:10" x14ac:dyDescent="0.25">
      <c r="A37" s="5">
        <v>0.59722222222222232</v>
      </c>
      <c r="B37" t="str">
        <f t="shared" si="0"/>
        <v>V</v>
      </c>
      <c r="C37" s="1" t="s">
        <v>15</v>
      </c>
      <c r="D37" s="2">
        <v>4</v>
      </c>
      <c r="E37" s="3" t="s">
        <v>3</v>
      </c>
      <c r="F37" s="2">
        <v>1</v>
      </c>
      <c r="G37" s="25" t="s">
        <v>26</v>
      </c>
      <c r="H37" s="26"/>
      <c r="I37" s="26"/>
      <c r="J37" t="str">
        <f t="shared" si="1"/>
        <v>D</v>
      </c>
    </row>
    <row r="38" spans="1:10" x14ac:dyDescent="0.25">
      <c r="A38" s="5">
        <v>0.61458333333333348</v>
      </c>
      <c r="B38" t="str">
        <f t="shared" si="0"/>
        <v>V</v>
      </c>
      <c r="C38" s="1" t="s">
        <v>23</v>
      </c>
      <c r="D38" s="2">
        <v>2</v>
      </c>
      <c r="E38" s="3" t="s">
        <v>3</v>
      </c>
      <c r="F38" s="2">
        <v>1</v>
      </c>
      <c r="G38" s="25" t="s">
        <v>14</v>
      </c>
      <c r="H38" s="26"/>
      <c r="I38" s="26"/>
      <c r="J38" t="str">
        <f t="shared" si="1"/>
        <v>D</v>
      </c>
    </row>
    <row r="39" spans="1:10" x14ac:dyDescent="0.25">
      <c r="A39" s="5">
        <v>0.63194444444444464</v>
      </c>
      <c r="B39" t="str">
        <f t="shared" si="0"/>
        <v>V</v>
      </c>
      <c r="C39" s="1" t="s">
        <v>17</v>
      </c>
      <c r="D39" s="2">
        <v>12</v>
      </c>
      <c r="E39" s="3" t="s">
        <v>3</v>
      </c>
      <c r="F39" s="2">
        <v>0</v>
      </c>
      <c r="G39" s="25" t="s">
        <v>20</v>
      </c>
      <c r="H39" s="26"/>
      <c r="I39" s="26"/>
      <c r="J39" t="str">
        <f t="shared" si="1"/>
        <v>D</v>
      </c>
    </row>
    <row r="40" spans="1:10" x14ac:dyDescent="0.25">
      <c r="A40" s="5">
        <v>0.6493055555555558</v>
      </c>
      <c r="B40" t="str">
        <f t="shared" si="0"/>
        <v>D</v>
      </c>
      <c r="C40" s="1" t="s">
        <v>18</v>
      </c>
      <c r="D40" s="2">
        <v>0</v>
      </c>
      <c r="E40" s="3" t="s">
        <v>3</v>
      </c>
      <c r="F40" s="2">
        <v>6</v>
      </c>
      <c r="G40" s="25" t="s">
        <v>15</v>
      </c>
      <c r="H40" s="26"/>
      <c r="I40" s="26"/>
      <c r="J40" t="str">
        <f t="shared" si="1"/>
        <v>V</v>
      </c>
    </row>
  </sheetData>
  <mergeCells count="32">
    <mergeCell ref="G39:I39"/>
    <mergeCell ref="G40:I40"/>
    <mergeCell ref="G33:I33"/>
    <mergeCell ref="G34:I34"/>
    <mergeCell ref="G35:I35"/>
    <mergeCell ref="G36:I36"/>
    <mergeCell ref="G37:I37"/>
    <mergeCell ref="G38:I38"/>
    <mergeCell ref="G32:I32"/>
    <mergeCell ref="G21:I21"/>
    <mergeCell ref="G22:I22"/>
    <mergeCell ref="G23:I23"/>
    <mergeCell ref="G24:I24"/>
    <mergeCell ref="G25:I25"/>
    <mergeCell ref="G26:I26"/>
    <mergeCell ref="G27:I27"/>
    <mergeCell ref="G28:I28"/>
    <mergeCell ref="G29:I29"/>
    <mergeCell ref="G30:I30"/>
    <mergeCell ref="G31:I31"/>
    <mergeCell ref="G20:I20"/>
    <mergeCell ref="C1:K1"/>
    <mergeCell ref="G10:I10"/>
    <mergeCell ref="G11:I11"/>
    <mergeCell ref="G12:I12"/>
    <mergeCell ref="G13:I13"/>
    <mergeCell ref="G14:I14"/>
    <mergeCell ref="G15:I15"/>
    <mergeCell ref="G16:I16"/>
    <mergeCell ref="G17:I17"/>
    <mergeCell ref="G18:I18"/>
    <mergeCell ref="G19:I19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lha4"/>
  <dimension ref="A1:K40"/>
  <sheetViews>
    <sheetView workbookViewId="0">
      <selection activeCell="D10" sqref="D10:F40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</cols>
  <sheetData>
    <row r="1" spans="1:11" s="4" customFormat="1" ht="18.75" x14ac:dyDescent="0.25">
      <c r="C1" s="27" t="s">
        <v>27</v>
      </c>
      <c r="D1" s="27"/>
      <c r="E1" s="27"/>
      <c r="F1" s="27"/>
      <c r="G1" s="27"/>
      <c r="H1" s="27"/>
      <c r="I1" s="27"/>
      <c r="J1" s="27"/>
      <c r="K1" s="28"/>
    </row>
    <row r="2" spans="1:11" s="4" customFormat="1" x14ac:dyDescent="0.25">
      <c r="C2" s="4" t="s">
        <v>12</v>
      </c>
      <c r="D2" s="4" t="s">
        <v>11</v>
      </c>
      <c r="E2" s="4" t="s">
        <v>7</v>
      </c>
      <c r="F2" s="4" t="s">
        <v>4</v>
      </c>
      <c r="G2" s="4" t="s">
        <v>5</v>
      </c>
      <c r="H2" s="4" t="s">
        <v>6</v>
      </c>
      <c r="I2" s="4" t="s">
        <v>8</v>
      </c>
      <c r="J2" s="4" t="s">
        <v>9</v>
      </c>
      <c r="K2" s="4" t="s">
        <v>10</v>
      </c>
    </row>
    <row r="3" spans="1:11" s="4" customFormat="1" x14ac:dyDescent="0.25">
      <c r="C3" s="9" t="s">
        <v>15</v>
      </c>
      <c r="D3" s="4">
        <f>F3*3+G3</f>
        <v>12</v>
      </c>
      <c r="E3" s="4">
        <f>SUM(F3:H3)</f>
        <v>4</v>
      </c>
      <c r="F3" s="4">
        <f>COUNTIF($B$14,"V")+COUNTIF($B$37,"V")+COUNTIF($J$17,"V")+COUNTIF($J$40,"V")</f>
        <v>4</v>
      </c>
      <c r="G3" s="4">
        <f>COUNTIF($B$14,"E")+COUNTIF($B$37,"E")+COUNTIF($J$17,"E")+COUNTIF($J$40,"E")</f>
        <v>0</v>
      </c>
      <c r="H3" s="4">
        <f>COUNTIF($B$14,"D")+COUNTIF($B$37,"D")+COUNTIF($J$17,"D")+COUNTIF($J$40,"D")</f>
        <v>0</v>
      </c>
      <c r="I3" s="4">
        <f>$F$17+$D$37+$D$14+$F$40</f>
        <v>21</v>
      </c>
      <c r="J3" s="4">
        <f>$D$17+$F$37+$F$14+$D$40</f>
        <v>1</v>
      </c>
      <c r="K3" s="4">
        <f>I3-J3</f>
        <v>20</v>
      </c>
    </row>
    <row r="4" spans="1:11" s="4" customFormat="1" x14ac:dyDescent="0.25">
      <c r="C4" s="4" t="s">
        <v>18</v>
      </c>
      <c r="D4" s="4">
        <f>F4*3+G4</f>
        <v>9</v>
      </c>
      <c r="E4" s="4">
        <f>SUM(F4:H4)</f>
        <v>4</v>
      </c>
      <c r="F4" s="4">
        <f>COUNTIF($B$40,"V")+COUNTIF($B$20,"V")+COUNTIF($J$26,"V")+COUNTIF($J$31,"V")</f>
        <v>3</v>
      </c>
      <c r="G4" s="4">
        <f>COUNTIF($B$40,"E")+COUNTIF($B$20,"E")+COUNTIF($J$26,"E")+COUNTIF($J$31,"E")</f>
        <v>0</v>
      </c>
      <c r="H4" s="4">
        <f>COUNTIF($B$40,"D")+COUNTIF($B$20,"D")+COUNTIF($J$26,"D")+COUNTIF($J$31,"D")</f>
        <v>1</v>
      </c>
      <c r="I4" s="4">
        <f>$D$20+$F$26+$F$31+$D$40</f>
        <v>8</v>
      </c>
      <c r="J4" s="4">
        <f>$F$20+$D$26+$D$31+$F$40</f>
        <v>9</v>
      </c>
      <c r="K4" s="4">
        <f>I4-J4</f>
        <v>-1</v>
      </c>
    </row>
    <row r="5" spans="1:11" s="4" customFormat="1" x14ac:dyDescent="0.25">
      <c r="C5" s="4" t="s">
        <v>28</v>
      </c>
      <c r="D5" s="4">
        <f>F5*3+G5</f>
        <v>6</v>
      </c>
      <c r="E5" s="4">
        <f>SUM(F5:H5)</f>
        <v>4</v>
      </c>
      <c r="F5" s="4">
        <f>COUNTIF($B$17,"V")+COUNTIF($B$28,"V")+COUNTIF($J$20,"V")+COUNTIF($J$23,"V")</f>
        <v>2</v>
      </c>
      <c r="G5" s="4">
        <f>COUNTIF($B$17,"E")+COUNTIF($B$28,"E")+COUNTIF($J$20,"E")+COUNTIF($J$23,"E")</f>
        <v>0</v>
      </c>
      <c r="H5" s="4">
        <f>COUNTIF($B$17,"D")+COUNTIF($B$28,"D")+COUNTIF($J$20,"D")+COUNTIF($J$23,"D")</f>
        <v>2</v>
      </c>
      <c r="I5" s="4">
        <f>$F$23+$D$17+$D$28+$F$20</f>
        <v>4</v>
      </c>
      <c r="J5" s="4">
        <f>$D$23+$F$17+$F$28+$D$20</f>
        <v>10</v>
      </c>
      <c r="K5" s="4">
        <f>I5-J5</f>
        <v>-6</v>
      </c>
    </row>
    <row r="6" spans="1:11" s="4" customFormat="1" x14ac:dyDescent="0.25">
      <c r="C6" s="4" t="s">
        <v>26</v>
      </c>
      <c r="D6" s="4">
        <f>F6*3+G6</f>
        <v>3</v>
      </c>
      <c r="E6" s="4">
        <f>SUM(F6:H6)</f>
        <v>4</v>
      </c>
      <c r="F6" s="4">
        <f>COUNTIF($B$31,"V")+COUNTIF($B$34,"V")+COUNTIF($J$37,"V")+COUNTIF($J$28,"V")</f>
        <v>1</v>
      </c>
      <c r="G6" s="4">
        <f>COUNTIF($B$31,"E")+COUNTIF($B$34,"E")+COUNTIF($J$37,"E")+COUNTIF($J$28,"E")</f>
        <v>0</v>
      </c>
      <c r="H6" s="4">
        <f>COUNTIF($B$31,"D")+COUNTIF($B$34,"D")+COUNTIF($J$37,"D")+COUNTIF($J$28,"D")</f>
        <v>3</v>
      </c>
      <c r="I6" s="4">
        <f>$D$34+$F$28+$F$37+$D$31</f>
        <v>3</v>
      </c>
      <c r="J6" s="4">
        <f>$F$34+$D$28+$D$37+$F$31</f>
        <v>8</v>
      </c>
      <c r="K6" s="4">
        <f>I6-J6</f>
        <v>-5</v>
      </c>
    </row>
    <row r="7" spans="1:11" s="4" customFormat="1" x14ac:dyDescent="0.25">
      <c r="C7" s="4" t="s">
        <v>25</v>
      </c>
      <c r="D7" s="4">
        <f>F7*3+G7</f>
        <v>0</v>
      </c>
      <c r="E7" s="4">
        <f>SUM(F7:H7)</f>
        <v>4</v>
      </c>
      <c r="F7" s="4">
        <f>COUNTIF($B$26,"V")+COUNTIF($B$23,"V")+COUNTIF($J$14,"V")+COUNTIF($J$34,"V")</f>
        <v>0</v>
      </c>
      <c r="G7" s="4">
        <f>COUNTIF($B$26,"E")+COUNTIF($B$23,"E")+COUNTIF($J$14,"E")+COUNTIF($J$34,"E")</f>
        <v>0</v>
      </c>
      <c r="H7" s="4">
        <f>COUNTIF($B$26,"D")+COUNTIF($B$23,"D")+COUNTIF($J$14,"D")+COUNTIF($J$34,"D")</f>
        <v>4</v>
      </c>
      <c r="I7" s="4">
        <f>$F$14+$F$34+$D$23+$D$26</f>
        <v>1</v>
      </c>
      <c r="J7" s="4">
        <f>$D$14+$D$34+$F$23+$F$26</f>
        <v>9</v>
      </c>
      <c r="K7" s="4">
        <f>I7-J7</f>
        <v>-8</v>
      </c>
    </row>
    <row r="10" spans="1:11" x14ac:dyDescent="0.25">
      <c r="A10" s="5">
        <v>0.375</v>
      </c>
      <c r="B10" t="str">
        <f>IF(D10="","-",IF(D10=F10,"E",IF(D10&gt;F10,"V","D")))</f>
        <v>D</v>
      </c>
      <c r="C10" s="1" t="s">
        <v>0</v>
      </c>
      <c r="D10" s="2">
        <v>0</v>
      </c>
      <c r="E10" s="3" t="s">
        <v>3</v>
      </c>
      <c r="F10" s="2">
        <v>8</v>
      </c>
      <c r="G10" s="25" t="s">
        <v>17</v>
      </c>
      <c r="H10" s="26"/>
      <c r="I10" s="26"/>
      <c r="J10" t="str">
        <f>IF(F10="","-",IF(F10=D10,"E",IF(F10&gt;D10,"V","D")))</f>
        <v>V</v>
      </c>
    </row>
    <row r="11" spans="1:11" x14ac:dyDescent="0.25">
      <c r="A11" s="5">
        <v>0.3923611111111111</v>
      </c>
      <c r="B11" t="str">
        <f t="shared" ref="B11:B40" si="0">IF(D11="","-",IF(D11=F11,"E",IF(D11&gt;F11,"V","D")))</f>
        <v>V</v>
      </c>
      <c r="C11" s="1" t="s">
        <v>2</v>
      </c>
      <c r="D11" s="2">
        <v>4</v>
      </c>
      <c r="E11" s="3" t="s">
        <v>3</v>
      </c>
      <c r="F11" s="2">
        <v>1</v>
      </c>
      <c r="G11" s="25" t="s">
        <v>23</v>
      </c>
      <c r="H11" s="26"/>
      <c r="I11" s="26"/>
      <c r="J11" t="str">
        <f t="shared" ref="J11:J40" si="1">IF(F11="","-",IF(F11=D11,"E",IF(F11&gt;D11,"V","D")))</f>
        <v>D</v>
      </c>
    </row>
    <row r="12" spans="1:11" x14ac:dyDescent="0.25">
      <c r="A12" s="5">
        <v>0.40972222222222227</v>
      </c>
      <c r="B12" t="str">
        <f t="shared" si="0"/>
        <v>V</v>
      </c>
      <c r="C12" s="1" t="s">
        <v>24</v>
      </c>
      <c r="D12" s="2">
        <v>1</v>
      </c>
      <c r="E12" s="3" t="s">
        <v>3</v>
      </c>
      <c r="F12" s="2">
        <v>0</v>
      </c>
      <c r="G12" s="25" t="s">
        <v>14</v>
      </c>
      <c r="H12" s="26"/>
      <c r="I12" s="26"/>
      <c r="J12" t="str">
        <f t="shared" si="1"/>
        <v>D</v>
      </c>
    </row>
    <row r="13" spans="1:11" x14ac:dyDescent="0.25">
      <c r="A13" s="5">
        <v>0.42708333333333331</v>
      </c>
      <c r="B13" t="str">
        <f t="shared" si="0"/>
        <v>V</v>
      </c>
      <c r="C13" s="1" t="s">
        <v>20</v>
      </c>
      <c r="D13" s="2">
        <v>4</v>
      </c>
      <c r="E13" s="3" t="s">
        <v>3</v>
      </c>
      <c r="F13" s="2">
        <v>1</v>
      </c>
      <c r="G13" s="25" t="s">
        <v>0</v>
      </c>
      <c r="H13" s="26"/>
      <c r="I13" s="26"/>
      <c r="J13" t="str">
        <f t="shared" si="1"/>
        <v>D</v>
      </c>
    </row>
    <row r="14" spans="1:11" x14ac:dyDescent="0.25">
      <c r="A14" s="5">
        <v>0.44444444444444442</v>
      </c>
      <c r="B14" t="str">
        <f t="shared" si="0"/>
        <v>V</v>
      </c>
      <c r="C14" s="1" t="s">
        <v>15</v>
      </c>
      <c r="D14" s="2">
        <v>4</v>
      </c>
      <c r="E14" s="3" t="s">
        <v>3</v>
      </c>
      <c r="F14" s="2">
        <v>0</v>
      </c>
      <c r="G14" s="25" t="s">
        <v>25</v>
      </c>
      <c r="H14" s="26"/>
      <c r="I14" s="26"/>
      <c r="J14" t="str">
        <f t="shared" si="1"/>
        <v>D</v>
      </c>
    </row>
    <row r="15" spans="1:11" x14ac:dyDescent="0.25">
      <c r="A15" s="5">
        <v>0.46180555555555558</v>
      </c>
      <c r="B15" t="str">
        <f t="shared" si="0"/>
        <v>V</v>
      </c>
      <c r="C15" s="1" t="s">
        <v>2</v>
      </c>
      <c r="D15" s="2">
        <v>7</v>
      </c>
      <c r="E15" s="3" t="s">
        <v>3</v>
      </c>
      <c r="F15" s="2">
        <v>0</v>
      </c>
      <c r="G15" s="25" t="s">
        <v>24</v>
      </c>
      <c r="H15" s="26"/>
      <c r="I15" s="26"/>
      <c r="J15" t="str">
        <f t="shared" si="1"/>
        <v>D</v>
      </c>
    </row>
    <row r="16" spans="1:11" x14ac:dyDescent="0.25">
      <c r="A16" s="5">
        <v>0.47916666666666669</v>
      </c>
      <c r="B16" t="str">
        <f t="shared" si="0"/>
        <v>D</v>
      </c>
      <c r="C16" s="1" t="s">
        <v>14</v>
      </c>
      <c r="D16" s="2">
        <v>0</v>
      </c>
      <c r="E16" s="3" t="s">
        <v>3</v>
      </c>
      <c r="F16" s="2">
        <v>15</v>
      </c>
      <c r="G16" s="25" t="s">
        <v>1</v>
      </c>
      <c r="H16" s="26"/>
      <c r="I16" s="26"/>
      <c r="J16" t="str">
        <f t="shared" si="1"/>
        <v>V</v>
      </c>
    </row>
    <row r="17" spans="1:10" x14ac:dyDescent="0.25">
      <c r="A17" s="5">
        <v>0.49652777777777773</v>
      </c>
      <c r="B17" t="str">
        <f t="shared" si="0"/>
        <v>D</v>
      </c>
      <c r="C17" s="1" t="s">
        <v>19</v>
      </c>
      <c r="D17" s="2">
        <v>0</v>
      </c>
      <c r="E17" s="3" t="s">
        <v>3</v>
      </c>
      <c r="F17" s="2">
        <v>7</v>
      </c>
      <c r="G17" s="25" t="s">
        <v>15</v>
      </c>
      <c r="H17" s="26"/>
      <c r="I17" s="26"/>
      <c r="J17" t="str">
        <f t="shared" si="1"/>
        <v>V</v>
      </c>
    </row>
    <row r="18" spans="1:10" x14ac:dyDescent="0.25">
      <c r="A18" s="5">
        <v>0.51388888888888895</v>
      </c>
      <c r="B18" t="str">
        <f t="shared" si="0"/>
        <v>D</v>
      </c>
      <c r="C18" s="1" t="s">
        <v>24</v>
      </c>
      <c r="D18" s="2">
        <v>0</v>
      </c>
      <c r="E18" s="3" t="s">
        <v>3</v>
      </c>
      <c r="F18" s="2">
        <v>1</v>
      </c>
      <c r="G18" s="25" t="s">
        <v>23</v>
      </c>
      <c r="H18" s="26"/>
      <c r="I18" s="26"/>
      <c r="J18" t="str">
        <f t="shared" si="1"/>
        <v>V</v>
      </c>
    </row>
    <row r="19" spans="1:10" x14ac:dyDescent="0.25">
      <c r="A19" s="5">
        <v>0.5625</v>
      </c>
      <c r="B19" t="str">
        <f t="shared" si="0"/>
        <v>V</v>
      </c>
      <c r="C19" s="1" t="s">
        <v>17</v>
      </c>
      <c r="D19" s="2">
        <v>6</v>
      </c>
      <c r="E19" s="3" t="s">
        <v>3</v>
      </c>
      <c r="F19" s="2">
        <v>0</v>
      </c>
      <c r="G19" s="25" t="s">
        <v>21</v>
      </c>
      <c r="H19" s="26"/>
      <c r="I19" s="26"/>
      <c r="J19" t="str">
        <f t="shared" si="1"/>
        <v>D</v>
      </c>
    </row>
    <row r="20" spans="1:10" x14ac:dyDescent="0.25">
      <c r="A20" s="5">
        <v>0.57986111111111116</v>
      </c>
      <c r="B20" t="str">
        <f t="shared" si="0"/>
        <v>V</v>
      </c>
      <c r="C20" s="1" t="s">
        <v>18</v>
      </c>
      <c r="D20" s="2">
        <v>3</v>
      </c>
      <c r="E20" s="3" t="s">
        <v>3</v>
      </c>
      <c r="F20" s="2">
        <v>1</v>
      </c>
      <c r="G20" s="25" t="s">
        <v>19</v>
      </c>
      <c r="H20" s="26"/>
      <c r="I20" s="26"/>
      <c r="J20" t="str">
        <f t="shared" si="1"/>
        <v>D</v>
      </c>
    </row>
    <row r="21" spans="1:10" x14ac:dyDescent="0.25">
      <c r="A21" s="5">
        <v>0.59722222222222232</v>
      </c>
      <c r="B21" t="str">
        <f t="shared" si="0"/>
        <v>V</v>
      </c>
      <c r="C21" s="1" t="s">
        <v>1</v>
      </c>
      <c r="D21" s="2">
        <v>5</v>
      </c>
      <c r="E21" s="3" t="s">
        <v>3</v>
      </c>
      <c r="F21" s="2">
        <v>0</v>
      </c>
      <c r="G21" s="25" t="s">
        <v>30</v>
      </c>
      <c r="H21" s="26"/>
      <c r="I21" s="26"/>
      <c r="J21" t="str">
        <f t="shared" si="1"/>
        <v>D</v>
      </c>
    </row>
    <row r="22" spans="1:10" x14ac:dyDescent="0.25">
      <c r="A22" s="5">
        <v>0.61458333333333348</v>
      </c>
      <c r="B22" t="str">
        <f t="shared" si="0"/>
        <v>D</v>
      </c>
      <c r="C22" s="1" t="s">
        <v>0</v>
      </c>
      <c r="D22" s="2">
        <v>1</v>
      </c>
      <c r="E22" s="3" t="s">
        <v>3</v>
      </c>
      <c r="F22" s="2">
        <v>4</v>
      </c>
      <c r="G22" s="25" t="s">
        <v>21</v>
      </c>
      <c r="H22" s="26"/>
      <c r="I22" s="26"/>
      <c r="J22" t="str">
        <f t="shared" si="1"/>
        <v>V</v>
      </c>
    </row>
    <row r="23" spans="1:10" x14ac:dyDescent="0.25">
      <c r="A23" s="5">
        <v>0.63194444444444464</v>
      </c>
      <c r="B23" t="str">
        <f t="shared" si="0"/>
        <v>D</v>
      </c>
      <c r="C23" s="1" t="s">
        <v>25</v>
      </c>
      <c r="D23" s="2">
        <v>0</v>
      </c>
      <c r="E23" s="3" t="s">
        <v>3</v>
      </c>
      <c r="F23" s="2">
        <v>1</v>
      </c>
      <c r="G23" s="25" t="s">
        <v>19</v>
      </c>
      <c r="H23" s="26"/>
      <c r="I23" s="26"/>
      <c r="J23" t="str">
        <f t="shared" si="1"/>
        <v>V</v>
      </c>
    </row>
    <row r="24" spans="1:10" x14ac:dyDescent="0.25">
      <c r="A24" s="5">
        <v>0.6493055555555558</v>
      </c>
      <c r="B24" t="str">
        <f t="shared" si="0"/>
        <v>V</v>
      </c>
      <c r="C24" s="1" t="s">
        <v>1</v>
      </c>
      <c r="D24" s="2">
        <v>4</v>
      </c>
      <c r="E24" s="3" t="s">
        <v>3</v>
      </c>
      <c r="F24" s="2">
        <v>0</v>
      </c>
      <c r="G24" s="25" t="s">
        <v>2</v>
      </c>
      <c r="H24" s="26"/>
      <c r="I24" s="26"/>
      <c r="J24" t="str">
        <f t="shared" si="1"/>
        <v>D</v>
      </c>
    </row>
    <row r="25" spans="1:10" x14ac:dyDescent="0.25">
      <c r="B25" t="str">
        <f t="shared" si="0"/>
        <v>-</v>
      </c>
      <c r="C25" s="1"/>
      <c r="D25" s="2"/>
      <c r="E25" s="3" t="s">
        <v>3</v>
      </c>
      <c r="F25" s="2"/>
      <c r="G25" s="25"/>
      <c r="H25" s="26"/>
      <c r="I25" s="26"/>
      <c r="J25" t="str">
        <f t="shared" si="1"/>
        <v>-</v>
      </c>
    </row>
    <row r="26" spans="1:10" x14ac:dyDescent="0.25">
      <c r="A26" s="5">
        <v>0.375</v>
      </c>
      <c r="B26" t="str">
        <f t="shared" si="0"/>
        <v>D</v>
      </c>
      <c r="C26" s="1" t="s">
        <v>25</v>
      </c>
      <c r="D26" s="2">
        <v>1</v>
      </c>
      <c r="E26" s="3">
        <v>3</v>
      </c>
      <c r="F26" s="2">
        <v>3</v>
      </c>
      <c r="G26" s="25" t="s">
        <v>18</v>
      </c>
      <c r="H26" s="26"/>
      <c r="I26" s="26"/>
      <c r="J26" t="str">
        <f t="shared" si="1"/>
        <v>V</v>
      </c>
    </row>
    <row r="27" spans="1:10" x14ac:dyDescent="0.25">
      <c r="A27" s="5">
        <v>0.3923611111111111</v>
      </c>
      <c r="B27" t="str">
        <f t="shared" si="0"/>
        <v>D</v>
      </c>
      <c r="C27" s="1" t="s">
        <v>21</v>
      </c>
      <c r="D27" s="2">
        <v>1</v>
      </c>
      <c r="E27" s="3" t="s">
        <v>3</v>
      </c>
      <c r="F27" s="2">
        <v>2</v>
      </c>
      <c r="G27" s="25" t="s">
        <v>22</v>
      </c>
      <c r="H27" s="26"/>
      <c r="I27" s="26"/>
      <c r="J27" t="str">
        <f t="shared" si="1"/>
        <v>V</v>
      </c>
    </row>
    <row r="28" spans="1:10" x14ac:dyDescent="0.25">
      <c r="A28" s="5">
        <v>0.40972222222222227</v>
      </c>
      <c r="B28" t="str">
        <f t="shared" si="0"/>
        <v>V</v>
      </c>
      <c r="C28" s="1" t="s">
        <v>19</v>
      </c>
      <c r="D28" s="2">
        <v>2</v>
      </c>
      <c r="E28" s="3" t="s">
        <v>3</v>
      </c>
      <c r="F28" s="2">
        <v>0</v>
      </c>
      <c r="G28" s="25" t="s">
        <v>26</v>
      </c>
      <c r="H28" s="26"/>
      <c r="I28" s="26"/>
      <c r="J28" t="str">
        <f t="shared" si="1"/>
        <v>D</v>
      </c>
    </row>
    <row r="29" spans="1:10" x14ac:dyDescent="0.25">
      <c r="A29" s="5">
        <v>0.42708333333333331</v>
      </c>
      <c r="B29" t="str">
        <f t="shared" si="0"/>
        <v>D</v>
      </c>
      <c r="C29" s="1" t="s">
        <v>23</v>
      </c>
      <c r="D29" s="2">
        <v>0</v>
      </c>
      <c r="E29" s="3" t="s">
        <v>3</v>
      </c>
      <c r="F29" s="2">
        <v>8</v>
      </c>
      <c r="G29" s="25" t="s">
        <v>1</v>
      </c>
      <c r="H29" s="26"/>
      <c r="I29" s="26"/>
      <c r="J29" t="str">
        <f t="shared" si="1"/>
        <v>V</v>
      </c>
    </row>
    <row r="30" spans="1:10" x14ac:dyDescent="0.25">
      <c r="A30" s="5">
        <v>0.44444444444444442</v>
      </c>
      <c r="B30" t="str">
        <f t="shared" si="0"/>
        <v>D</v>
      </c>
      <c r="C30" s="1" t="s">
        <v>22</v>
      </c>
      <c r="D30" s="2">
        <v>1</v>
      </c>
      <c r="E30" s="3" t="s">
        <v>3</v>
      </c>
      <c r="F30" s="2">
        <v>3</v>
      </c>
      <c r="G30" s="25" t="s">
        <v>17</v>
      </c>
      <c r="H30" s="26"/>
      <c r="I30" s="26"/>
      <c r="J30" t="str">
        <f t="shared" si="1"/>
        <v>V</v>
      </c>
    </row>
    <row r="31" spans="1:10" x14ac:dyDescent="0.25">
      <c r="A31" s="5">
        <v>0.46180555555555558</v>
      </c>
      <c r="B31" t="str">
        <f t="shared" si="0"/>
        <v>D</v>
      </c>
      <c r="C31" s="1" t="s">
        <v>26</v>
      </c>
      <c r="D31" s="2">
        <v>1</v>
      </c>
      <c r="E31" s="3" t="s">
        <v>3</v>
      </c>
      <c r="F31" s="2">
        <v>2</v>
      </c>
      <c r="G31" s="25" t="s">
        <v>18</v>
      </c>
      <c r="H31" s="26"/>
      <c r="I31" s="26"/>
      <c r="J31" t="str">
        <f t="shared" si="1"/>
        <v>V</v>
      </c>
    </row>
    <row r="32" spans="1:10" x14ac:dyDescent="0.25">
      <c r="A32" s="5">
        <v>0.47916666666666669</v>
      </c>
      <c r="B32" t="str">
        <f t="shared" si="0"/>
        <v>V</v>
      </c>
      <c r="C32" s="1" t="s">
        <v>21</v>
      </c>
      <c r="D32" s="2">
        <v>2</v>
      </c>
      <c r="E32" s="3" t="s">
        <v>3</v>
      </c>
      <c r="F32" s="2">
        <v>0</v>
      </c>
      <c r="G32" s="25" t="s">
        <v>20</v>
      </c>
      <c r="H32" s="26"/>
      <c r="I32" s="26"/>
      <c r="J32" t="str">
        <f t="shared" si="1"/>
        <v>D</v>
      </c>
    </row>
    <row r="33" spans="1:10" x14ac:dyDescent="0.25">
      <c r="A33" s="5">
        <v>0.49652777777777773</v>
      </c>
      <c r="B33" t="str">
        <f t="shared" si="0"/>
        <v>V</v>
      </c>
      <c r="C33" s="1" t="s">
        <v>22</v>
      </c>
      <c r="D33" s="2">
        <v>3</v>
      </c>
      <c r="E33" s="3" t="s">
        <v>3</v>
      </c>
      <c r="F33" s="2">
        <v>1</v>
      </c>
      <c r="G33" s="25" t="s">
        <v>0</v>
      </c>
      <c r="H33" s="26"/>
      <c r="I33" s="26"/>
      <c r="J33" t="str">
        <f t="shared" si="1"/>
        <v>D</v>
      </c>
    </row>
    <row r="34" spans="1:10" x14ac:dyDescent="0.25">
      <c r="A34" s="5">
        <v>0.51388888888888895</v>
      </c>
      <c r="B34" t="str">
        <f t="shared" si="0"/>
        <v>V</v>
      </c>
      <c r="C34" s="1" t="s">
        <v>26</v>
      </c>
      <c r="D34" s="2">
        <v>1</v>
      </c>
      <c r="E34" s="3" t="s">
        <v>3</v>
      </c>
      <c r="F34" s="2">
        <v>0</v>
      </c>
      <c r="G34" s="25" t="s">
        <v>25</v>
      </c>
      <c r="H34" s="26"/>
      <c r="I34" s="26"/>
      <c r="J34" t="str">
        <f t="shared" si="1"/>
        <v>D</v>
      </c>
    </row>
    <row r="35" spans="1:10" x14ac:dyDescent="0.25">
      <c r="A35" s="5">
        <v>0.5625</v>
      </c>
      <c r="B35" t="str">
        <f t="shared" si="0"/>
        <v>D</v>
      </c>
      <c r="C35" s="1" t="s">
        <v>14</v>
      </c>
      <c r="D35" s="2">
        <v>0</v>
      </c>
      <c r="E35" s="3" t="s">
        <v>3</v>
      </c>
      <c r="F35" s="2">
        <v>3</v>
      </c>
      <c r="G35" s="25" t="s">
        <v>2</v>
      </c>
      <c r="H35" s="26"/>
      <c r="I35" s="26"/>
      <c r="J35" t="str">
        <f t="shared" si="1"/>
        <v>V</v>
      </c>
    </row>
    <row r="36" spans="1:10" x14ac:dyDescent="0.25">
      <c r="A36" s="5">
        <v>0.57986111111111116</v>
      </c>
      <c r="B36" t="str">
        <f t="shared" si="0"/>
        <v>V</v>
      </c>
      <c r="C36" s="1" t="s">
        <v>20</v>
      </c>
      <c r="D36" s="2">
        <v>2</v>
      </c>
      <c r="E36" s="3" t="s">
        <v>3</v>
      </c>
      <c r="F36" s="2">
        <v>1</v>
      </c>
      <c r="G36" s="25" t="s">
        <v>22</v>
      </c>
      <c r="H36" s="26"/>
      <c r="I36" s="26"/>
      <c r="J36" t="str">
        <f t="shared" si="1"/>
        <v>D</v>
      </c>
    </row>
    <row r="37" spans="1:10" x14ac:dyDescent="0.25">
      <c r="A37" s="5">
        <v>0.59722222222222232</v>
      </c>
      <c r="B37" t="str">
        <f t="shared" si="0"/>
        <v>V</v>
      </c>
      <c r="C37" s="1" t="s">
        <v>15</v>
      </c>
      <c r="D37" s="2">
        <v>4</v>
      </c>
      <c r="E37" s="3" t="s">
        <v>3</v>
      </c>
      <c r="F37" s="2">
        <v>1</v>
      </c>
      <c r="G37" s="25" t="s">
        <v>26</v>
      </c>
      <c r="H37" s="26"/>
      <c r="I37" s="26"/>
      <c r="J37" t="str">
        <f t="shared" si="1"/>
        <v>D</v>
      </c>
    </row>
    <row r="38" spans="1:10" x14ac:dyDescent="0.25">
      <c r="A38" s="5">
        <v>0.61458333333333348</v>
      </c>
      <c r="B38" t="str">
        <f t="shared" si="0"/>
        <v>V</v>
      </c>
      <c r="C38" s="1" t="s">
        <v>23</v>
      </c>
      <c r="D38" s="2">
        <v>2</v>
      </c>
      <c r="E38" s="3" t="s">
        <v>3</v>
      </c>
      <c r="F38" s="2">
        <v>1</v>
      </c>
      <c r="G38" s="25" t="s">
        <v>14</v>
      </c>
      <c r="H38" s="26"/>
      <c r="I38" s="26"/>
      <c r="J38" t="str">
        <f t="shared" si="1"/>
        <v>D</v>
      </c>
    </row>
    <row r="39" spans="1:10" x14ac:dyDescent="0.25">
      <c r="A39" s="5">
        <v>0.63194444444444464</v>
      </c>
      <c r="B39" t="str">
        <f t="shared" si="0"/>
        <v>V</v>
      </c>
      <c r="C39" s="1" t="s">
        <v>17</v>
      </c>
      <c r="D39" s="2">
        <v>12</v>
      </c>
      <c r="E39" s="3" t="s">
        <v>3</v>
      </c>
      <c r="F39" s="2">
        <v>0</v>
      </c>
      <c r="G39" s="25" t="s">
        <v>20</v>
      </c>
      <c r="H39" s="26"/>
      <c r="I39" s="26"/>
      <c r="J39" t="str">
        <f t="shared" si="1"/>
        <v>D</v>
      </c>
    </row>
    <row r="40" spans="1:10" x14ac:dyDescent="0.25">
      <c r="A40" s="5">
        <v>0.6493055555555558</v>
      </c>
      <c r="B40" t="str">
        <f t="shared" si="0"/>
        <v>D</v>
      </c>
      <c r="C40" s="1" t="s">
        <v>18</v>
      </c>
      <c r="D40" s="2">
        <v>0</v>
      </c>
      <c r="E40" s="3" t="s">
        <v>3</v>
      </c>
      <c r="F40" s="2">
        <v>6</v>
      </c>
      <c r="G40" s="25" t="s">
        <v>15</v>
      </c>
      <c r="H40" s="26"/>
      <c r="I40" s="26"/>
      <c r="J40" t="str">
        <f t="shared" si="1"/>
        <v>V</v>
      </c>
    </row>
  </sheetData>
  <mergeCells count="32">
    <mergeCell ref="G39:I39"/>
    <mergeCell ref="G40:I40"/>
    <mergeCell ref="G33:I33"/>
    <mergeCell ref="G34:I34"/>
    <mergeCell ref="G35:I35"/>
    <mergeCell ref="G36:I36"/>
    <mergeCell ref="G37:I37"/>
    <mergeCell ref="G38:I38"/>
    <mergeCell ref="G32:I32"/>
    <mergeCell ref="G21:I21"/>
    <mergeCell ref="G22:I22"/>
    <mergeCell ref="G23:I23"/>
    <mergeCell ref="G24:I24"/>
    <mergeCell ref="G25:I25"/>
    <mergeCell ref="G26:I26"/>
    <mergeCell ref="G27:I27"/>
    <mergeCell ref="G28:I28"/>
    <mergeCell ref="G29:I29"/>
    <mergeCell ref="G30:I30"/>
    <mergeCell ref="G31:I31"/>
    <mergeCell ref="G20:I20"/>
    <mergeCell ref="C1:K1"/>
    <mergeCell ref="G10:I10"/>
    <mergeCell ref="G11:I11"/>
    <mergeCell ref="G12:I12"/>
    <mergeCell ref="G13:I13"/>
    <mergeCell ref="G14:I14"/>
    <mergeCell ref="G15:I15"/>
    <mergeCell ref="G16:I16"/>
    <mergeCell ref="G17:I17"/>
    <mergeCell ref="G18:I18"/>
    <mergeCell ref="G19:I19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S8"/>
  <sheetViews>
    <sheetView workbookViewId="0">
      <selection activeCell="F8" sqref="F8"/>
    </sheetView>
  </sheetViews>
  <sheetFormatPr defaultRowHeight="15" x14ac:dyDescent="0.25"/>
  <cols>
    <col min="2" max="2" width="2.28515625" bestFit="1" customWidth="1"/>
    <col min="3" max="3" width="22.5703125" style="4" bestFit="1" customWidth="1"/>
    <col min="7" max="7" width="22.5703125" style="4" bestFit="1" customWidth="1"/>
  </cols>
  <sheetData>
    <row r="1" spans="1:19" x14ac:dyDescent="0.25">
      <c r="A1" s="5">
        <v>0.67708333333333337</v>
      </c>
      <c r="B1" t="str">
        <f>IF(D1="","-",IF(D1=F1,"E",IF(D1&gt;F1,"V","D")))</f>
        <v>V</v>
      </c>
      <c r="C1" s="1" t="s">
        <v>17</v>
      </c>
      <c r="D1" s="2">
        <v>8</v>
      </c>
      <c r="E1" s="3" t="s">
        <v>3</v>
      </c>
      <c r="F1" s="2">
        <v>0</v>
      </c>
      <c r="G1" s="8" t="s">
        <v>28</v>
      </c>
      <c r="H1" t="str">
        <f>IF(F1="","-",IF(F1=D1,"E",IF(F1&gt;D1,"V","D")))</f>
        <v>D</v>
      </c>
    </row>
    <row r="2" spans="1:19" x14ac:dyDescent="0.25">
      <c r="A2" s="5">
        <v>0.67708333333333337</v>
      </c>
      <c r="B2" t="str">
        <f t="shared" ref="B2:B8" si="0">IF(D2="","-",IF(D2=F2,"E",IF(D2&gt;F2,"V","D")))</f>
        <v>V</v>
      </c>
      <c r="C2" s="1" t="s">
        <v>1</v>
      </c>
      <c r="D2" s="2">
        <v>8</v>
      </c>
      <c r="E2" s="3" t="s">
        <v>3</v>
      </c>
      <c r="F2" s="2">
        <v>0</v>
      </c>
      <c r="G2" s="8" t="s">
        <v>21</v>
      </c>
      <c r="H2" t="str">
        <f t="shared" ref="H2:H8" si="1">IF(F2="","-",IF(F2=D2,"E",IF(F2&gt;D2,"V","D")))</f>
        <v>D</v>
      </c>
    </row>
    <row r="3" spans="1:19" x14ac:dyDescent="0.25">
      <c r="A3" s="5">
        <v>0.69444444444444453</v>
      </c>
      <c r="B3" t="str">
        <f t="shared" si="0"/>
        <v>V</v>
      </c>
      <c r="C3" s="1" t="s">
        <v>15</v>
      </c>
      <c r="D3" s="2">
        <v>4</v>
      </c>
      <c r="E3" s="3" t="s">
        <v>3</v>
      </c>
      <c r="F3" s="2">
        <v>0</v>
      </c>
      <c r="G3" s="8" t="s">
        <v>2</v>
      </c>
      <c r="H3" t="str">
        <f t="shared" si="1"/>
        <v>D</v>
      </c>
      <c r="Q3" s="19"/>
    </row>
    <row r="4" spans="1:19" x14ac:dyDescent="0.25">
      <c r="A4" s="5">
        <v>0.69444444444444453</v>
      </c>
      <c r="B4" t="str">
        <f t="shared" si="0"/>
        <v>D</v>
      </c>
      <c r="C4" s="1" t="s">
        <v>29</v>
      </c>
      <c r="D4" s="2">
        <v>0</v>
      </c>
      <c r="E4" s="3" t="s">
        <v>3</v>
      </c>
      <c r="F4" s="2">
        <v>3</v>
      </c>
      <c r="G4" s="8" t="s">
        <v>18</v>
      </c>
      <c r="H4" t="str">
        <f t="shared" si="1"/>
        <v>V</v>
      </c>
      <c r="M4" s="15"/>
      <c r="O4" s="17"/>
      <c r="Q4" s="15"/>
      <c r="S4" s="16"/>
    </row>
    <row r="5" spans="1:19" x14ac:dyDescent="0.25">
      <c r="A5" s="5">
        <v>0.71875</v>
      </c>
      <c r="B5" t="str">
        <f t="shared" si="0"/>
        <v>V</v>
      </c>
      <c r="C5" s="1" t="s">
        <v>17</v>
      </c>
      <c r="D5" s="2">
        <v>3</v>
      </c>
      <c r="E5" s="3" t="s">
        <v>3</v>
      </c>
      <c r="F5" s="2">
        <v>1</v>
      </c>
      <c r="G5" s="1" t="s">
        <v>15</v>
      </c>
      <c r="H5" t="str">
        <f t="shared" si="1"/>
        <v>D</v>
      </c>
      <c r="M5" s="16"/>
      <c r="O5" s="18"/>
      <c r="S5" s="15"/>
    </row>
    <row r="6" spans="1:19" x14ac:dyDescent="0.25">
      <c r="A6" s="5">
        <v>0.71875</v>
      </c>
      <c r="B6" t="str">
        <f t="shared" si="0"/>
        <v>D</v>
      </c>
      <c r="C6" s="1" t="s">
        <v>1</v>
      </c>
      <c r="D6" s="2">
        <v>3</v>
      </c>
      <c r="E6" s="3" t="s">
        <v>3</v>
      </c>
      <c r="F6" s="2" t="s">
        <v>31</v>
      </c>
      <c r="G6" s="24" t="s">
        <v>18</v>
      </c>
      <c r="H6" t="str">
        <f t="shared" si="1"/>
        <v>V</v>
      </c>
    </row>
    <row r="7" spans="1:19" x14ac:dyDescent="0.25">
      <c r="A7" s="5">
        <v>0.74305555555555547</v>
      </c>
      <c r="B7" t="str">
        <f t="shared" si="0"/>
        <v>V</v>
      </c>
      <c r="C7" s="1" t="s">
        <v>15</v>
      </c>
      <c r="D7" s="2">
        <v>6</v>
      </c>
      <c r="E7" s="3" t="s">
        <v>3</v>
      </c>
      <c r="F7" s="2">
        <v>1</v>
      </c>
      <c r="G7" s="24" t="s">
        <v>18</v>
      </c>
      <c r="H7" t="str">
        <f t="shared" si="1"/>
        <v>D</v>
      </c>
    </row>
    <row r="8" spans="1:19" x14ac:dyDescent="0.25">
      <c r="A8" s="5">
        <v>0.76736111111111116</v>
      </c>
      <c r="B8" t="str">
        <f t="shared" si="0"/>
        <v>V</v>
      </c>
      <c r="C8" s="1" t="s">
        <v>17</v>
      </c>
      <c r="D8" s="13">
        <v>1</v>
      </c>
      <c r="E8" s="14" t="s">
        <v>3</v>
      </c>
      <c r="F8" s="13">
        <v>0</v>
      </c>
      <c r="G8" s="1" t="s">
        <v>1</v>
      </c>
      <c r="H8" t="str">
        <f t="shared" si="1"/>
        <v>D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5</vt:i4>
      </vt:variant>
    </vt:vector>
  </HeadingPairs>
  <TitlesOfParts>
    <vt:vector size="5" baseType="lpstr">
      <vt:lpstr>Resultados</vt:lpstr>
      <vt:lpstr>U10_A</vt:lpstr>
      <vt:lpstr>U10_B</vt:lpstr>
      <vt:lpstr>U10_C</vt:lpstr>
      <vt:lpstr>final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Lopes, Vitor (Viana)</dc:creator>
  <cp:lastModifiedBy>SCCourense</cp:lastModifiedBy>
  <dcterms:created xsi:type="dcterms:W3CDTF">2023-06-08T09:49:04Z</dcterms:created>
  <dcterms:modified xsi:type="dcterms:W3CDTF">2023-06-15T21:23:20Z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9a598e00-193a-42e4-aabe-49901871f06a</vt:lpwstr>
  </property>
</Properties>
</file>