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sets\files\"/>
    </mc:Choice>
  </mc:AlternateContent>
  <xr:revisionPtr revIDLastSave="0" documentId="13_ncr:1_{D27F3C8B-2D82-4A9B-8FD2-ADB2BAFC417F}" xr6:coauthVersionLast="36" xr6:coauthVersionMax="36" xr10:uidLastSave="{00000000-0000-0000-0000-000000000000}"/>
  <bookViews>
    <workbookView xWindow="0" yWindow="0" windowWidth="18405" windowHeight="8055" activeTab="1" xr2:uid="{00000000-000D-0000-FFFF-FFFF00000000}"/>
  </bookViews>
  <sheets>
    <sheet name="Resultados" sheetId="5" r:id="rId1"/>
    <sheet name="U13_A" sheetId="2" r:id="rId2"/>
    <sheet name="U13_B" sheetId="3" r:id="rId3"/>
    <sheet name="U13_C" sheetId="4" r:id="rId4"/>
    <sheet name="U13_D" sheetId="7" r:id="rId5"/>
    <sheet name="Fase Final" sheetId="8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7" l="1"/>
  <c r="J4" i="7"/>
  <c r="J5" i="7"/>
  <c r="J6" i="7"/>
  <c r="J3" i="7"/>
  <c r="I6" i="7"/>
  <c r="I5" i="7"/>
  <c r="I3" i="7"/>
  <c r="K4" i="3"/>
  <c r="K3" i="3"/>
  <c r="J5" i="3"/>
  <c r="J4" i="3"/>
  <c r="J3" i="3"/>
  <c r="I5" i="3"/>
  <c r="I4" i="3"/>
  <c r="I3" i="3"/>
  <c r="J6" i="3"/>
  <c r="K6" i="3"/>
  <c r="I6" i="3"/>
  <c r="K7" i="3"/>
  <c r="K7" i="2"/>
  <c r="K7" i="4"/>
  <c r="J6" i="4" l="1"/>
  <c r="I6" i="4"/>
  <c r="I5" i="4"/>
  <c r="I4" i="4"/>
  <c r="I3" i="4"/>
  <c r="J6" i="2"/>
  <c r="J5" i="2"/>
  <c r="J4" i="2"/>
  <c r="J3" i="2"/>
  <c r="I6" i="2"/>
  <c r="I5" i="2"/>
  <c r="I4" i="2"/>
  <c r="I3" i="2"/>
  <c r="J5" i="4" l="1"/>
  <c r="J4" i="4"/>
  <c r="J3" i="4"/>
  <c r="K6" i="4" l="1"/>
  <c r="K4" i="4"/>
  <c r="K5" i="4"/>
  <c r="J39" i="7" l="1"/>
  <c r="B39" i="7"/>
  <c r="J38" i="7"/>
  <c r="B38" i="7"/>
  <c r="J37" i="7"/>
  <c r="B37" i="7"/>
  <c r="J36" i="7"/>
  <c r="B36" i="7"/>
  <c r="J35" i="7"/>
  <c r="B35" i="7"/>
  <c r="J34" i="7"/>
  <c r="B34" i="7"/>
  <c r="J33" i="7"/>
  <c r="B33" i="7"/>
  <c r="J32" i="7"/>
  <c r="B32" i="7"/>
  <c r="J31" i="7"/>
  <c r="B31" i="7"/>
  <c r="J30" i="7"/>
  <c r="B30" i="7"/>
  <c r="J29" i="7"/>
  <c r="B29" i="7"/>
  <c r="J28" i="7"/>
  <c r="B28" i="7"/>
  <c r="H6" i="7" s="1"/>
  <c r="J27" i="7"/>
  <c r="B27" i="7"/>
  <c r="J26" i="7"/>
  <c r="B26" i="7"/>
  <c r="F3" i="7" s="1"/>
  <c r="J25" i="7"/>
  <c r="B25" i="7"/>
  <c r="J24" i="7"/>
  <c r="B24" i="7"/>
  <c r="J23" i="7"/>
  <c r="B23" i="7"/>
  <c r="J22" i="7"/>
  <c r="B22" i="7"/>
  <c r="J21" i="7"/>
  <c r="B21" i="7"/>
  <c r="J20" i="7"/>
  <c r="B20" i="7"/>
  <c r="F4" i="7" s="1"/>
  <c r="J19" i="7"/>
  <c r="B19" i="7"/>
  <c r="J18" i="7"/>
  <c r="B18" i="7"/>
  <c r="J17" i="7"/>
  <c r="B17" i="7"/>
  <c r="J16" i="7"/>
  <c r="B16" i="7"/>
  <c r="F5" i="7" s="1"/>
  <c r="J15" i="7"/>
  <c r="B15" i="7"/>
  <c r="J14" i="7"/>
  <c r="B14" i="7"/>
  <c r="J13" i="7"/>
  <c r="B13" i="7"/>
  <c r="J12" i="7"/>
  <c r="B12" i="7"/>
  <c r="J11" i="7"/>
  <c r="B11" i="7"/>
  <c r="J10" i="7"/>
  <c r="B10" i="7"/>
  <c r="J9" i="7"/>
  <c r="B9" i="7"/>
  <c r="J36" i="4"/>
  <c r="B36" i="4"/>
  <c r="J35" i="4"/>
  <c r="B35" i="4"/>
  <c r="J34" i="4"/>
  <c r="B34" i="4"/>
  <c r="J33" i="4"/>
  <c r="B33" i="4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J23" i="4"/>
  <c r="B23" i="4"/>
  <c r="J22" i="4"/>
  <c r="B22" i="4"/>
  <c r="J21" i="4"/>
  <c r="B21" i="4"/>
  <c r="J20" i="4"/>
  <c r="B20" i="4"/>
  <c r="J19" i="4"/>
  <c r="B19" i="4"/>
  <c r="J18" i="4"/>
  <c r="B18" i="4"/>
  <c r="J17" i="4"/>
  <c r="B17" i="4"/>
  <c r="J16" i="4"/>
  <c r="B16" i="4"/>
  <c r="J15" i="4"/>
  <c r="B15" i="4"/>
  <c r="J14" i="4"/>
  <c r="B14" i="4"/>
  <c r="J13" i="4"/>
  <c r="B13" i="4"/>
  <c r="J12" i="4"/>
  <c r="B12" i="4"/>
  <c r="J11" i="4"/>
  <c r="B11" i="4"/>
  <c r="J10" i="4"/>
  <c r="B10" i="4"/>
  <c r="J9" i="4"/>
  <c r="B9" i="4"/>
  <c r="J36" i="3"/>
  <c r="B37" i="3"/>
  <c r="J35" i="3"/>
  <c r="B36" i="3"/>
  <c r="J34" i="3"/>
  <c r="B35" i="3"/>
  <c r="J33" i="3"/>
  <c r="B34" i="3"/>
  <c r="J32" i="3"/>
  <c r="B33" i="3"/>
  <c r="J31" i="3"/>
  <c r="B32" i="3"/>
  <c r="J30" i="3"/>
  <c r="B31" i="3"/>
  <c r="J29" i="3"/>
  <c r="B30" i="3"/>
  <c r="J28" i="3"/>
  <c r="B29" i="3"/>
  <c r="J27" i="3"/>
  <c r="B28" i="3"/>
  <c r="J26" i="3"/>
  <c r="B27" i="3"/>
  <c r="J25" i="3"/>
  <c r="B26" i="3"/>
  <c r="J24" i="3"/>
  <c r="B25" i="3"/>
  <c r="J23" i="3"/>
  <c r="B24" i="3"/>
  <c r="J22" i="3"/>
  <c r="B23" i="3"/>
  <c r="J21" i="3"/>
  <c r="B22" i="3"/>
  <c r="J20" i="3"/>
  <c r="B21" i="3"/>
  <c r="J19" i="3"/>
  <c r="B20" i="3"/>
  <c r="J18" i="3"/>
  <c r="B19" i="3"/>
  <c r="J17" i="3"/>
  <c r="B18" i="3"/>
  <c r="J16" i="3"/>
  <c r="B17" i="3"/>
  <c r="J15" i="3"/>
  <c r="B16" i="3"/>
  <c r="J14" i="3"/>
  <c r="B15" i="3"/>
  <c r="J13" i="3"/>
  <c r="B14" i="3"/>
  <c r="J12" i="3"/>
  <c r="B13" i="3"/>
  <c r="J11" i="3"/>
  <c r="B12" i="3"/>
  <c r="J10" i="3"/>
  <c r="B11" i="3"/>
  <c r="J9" i="3"/>
  <c r="B10" i="3"/>
  <c r="J36" i="2"/>
  <c r="B36" i="2"/>
  <c r="J35" i="2"/>
  <c r="B35" i="2"/>
  <c r="J34" i="2"/>
  <c r="B34" i="2"/>
  <c r="J33" i="2"/>
  <c r="B33" i="2"/>
  <c r="J32" i="2"/>
  <c r="B32" i="2"/>
  <c r="J31" i="2"/>
  <c r="B31" i="2"/>
  <c r="J30" i="2"/>
  <c r="B30" i="2"/>
  <c r="J29" i="2"/>
  <c r="B29" i="2"/>
  <c r="J28" i="2"/>
  <c r="B28" i="2"/>
  <c r="J27" i="2"/>
  <c r="B27" i="2"/>
  <c r="J26" i="2"/>
  <c r="B26" i="2"/>
  <c r="J25" i="2"/>
  <c r="B25" i="2"/>
  <c r="J24" i="2"/>
  <c r="B24" i="2"/>
  <c r="J23" i="2"/>
  <c r="B23" i="2"/>
  <c r="J22" i="2"/>
  <c r="B22" i="2"/>
  <c r="J21" i="2"/>
  <c r="B21" i="2"/>
  <c r="J20" i="2"/>
  <c r="B20" i="2"/>
  <c r="J19" i="2"/>
  <c r="B19" i="2"/>
  <c r="J18" i="2"/>
  <c r="B18" i="2"/>
  <c r="J17" i="2"/>
  <c r="B17" i="2"/>
  <c r="J16" i="2"/>
  <c r="B16" i="2"/>
  <c r="J15" i="2"/>
  <c r="B15" i="2"/>
  <c r="J14" i="2"/>
  <c r="B14" i="2"/>
  <c r="J13" i="2"/>
  <c r="B13" i="2"/>
  <c r="J12" i="2"/>
  <c r="B12" i="2"/>
  <c r="J11" i="2"/>
  <c r="B11" i="2"/>
  <c r="J10" i="2"/>
  <c r="B10" i="2"/>
  <c r="J9" i="2"/>
  <c r="B9" i="2"/>
  <c r="F6" i="2" s="1"/>
  <c r="H3" i="5"/>
  <c r="B3" i="5"/>
  <c r="H6" i="3" l="1"/>
  <c r="F6" i="3"/>
  <c r="G6" i="3"/>
  <c r="F6" i="7"/>
  <c r="G5" i="7"/>
  <c r="G6" i="7"/>
  <c r="H5" i="7"/>
  <c r="G4" i="7"/>
  <c r="D4" i="7" s="1"/>
  <c r="H3" i="7"/>
  <c r="G3" i="7"/>
  <c r="H4" i="7"/>
  <c r="G6" i="4"/>
  <c r="F6" i="4"/>
  <c r="D6" i="4" s="1"/>
  <c r="H6" i="4"/>
  <c r="H3" i="4"/>
  <c r="G3" i="4"/>
  <c r="F3" i="4"/>
  <c r="F5" i="4"/>
  <c r="F4" i="4"/>
  <c r="H5" i="2"/>
  <c r="G3" i="2"/>
  <c r="F3" i="2"/>
  <c r="H5" i="4"/>
  <c r="K5" i="7"/>
  <c r="G4" i="4"/>
  <c r="H4" i="4"/>
  <c r="G5" i="4"/>
  <c r="K3" i="7"/>
  <c r="K6" i="7"/>
  <c r="K3" i="4"/>
  <c r="G6" i="2"/>
  <c r="H6" i="2"/>
  <c r="G4" i="2"/>
  <c r="H3" i="2"/>
  <c r="F5" i="2"/>
  <c r="G5" i="2"/>
  <c r="H4" i="2"/>
  <c r="F4" i="2"/>
  <c r="K4" i="7"/>
  <c r="K7" i="7" l="1"/>
  <c r="D6" i="3"/>
  <c r="E6" i="3"/>
  <c r="D6" i="7"/>
  <c r="E5" i="4"/>
  <c r="E6" i="7"/>
  <c r="D4" i="4"/>
  <c r="E3" i="7"/>
  <c r="E5" i="7"/>
  <c r="E4" i="7"/>
  <c r="E3" i="4"/>
  <c r="D5" i="7"/>
  <c r="E6" i="4"/>
  <c r="E4" i="4"/>
  <c r="D3" i="4"/>
  <c r="D3" i="7"/>
  <c r="D5" i="4"/>
  <c r="H33" i="5" l="1"/>
  <c r="B33" i="5"/>
  <c r="H32" i="5"/>
  <c r="B32" i="5"/>
  <c r="H31" i="5"/>
  <c r="B31" i="5"/>
  <c r="H30" i="5"/>
  <c r="B30" i="5"/>
  <c r="H29" i="5"/>
  <c r="B29" i="5"/>
  <c r="H28" i="5"/>
  <c r="B28" i="5"/>
  <c r="H27" i="5"/>
  <c r="B27" i="5"/>
  <c r="H26" i="5"/>
  <c r="B26" i="5"/>
  <c r="H25" i="5"/>
  <c r="B25" i="5"/>
  <c r="H24" i="5"/>
  <c r="B24" i="5"/>
  <c r="H23" i="5"/>
  <c r="B23" i="5"/>
  <c r="H22" i="5"/>
  <c r="B22" i="5"/>
  <c r="H21" i="5"/>
  <c r="B21" i="5"/>
  <c r="H20" i="5"/>
  <c r="B20" i="5"/>
  <c r="H19" i="5"/>
  <c r="B19" i="5"/>
  <c r="H18" i="5"/>
  <c r="B18" i="5"/>
  <c r="H17" i="5"/>
  <c r="B17" i="5"/>
  <c r="H16" i="5"/>
  <c r="B16" i="5"/>
  <c r="H15" i="5"/>
  <c r="B15" i="5"/>
  <c r="H14" i="5"/>
  <c r="B14" i="5"/>
  <c r="H13" i="5"/>
  <c r="B13" i="5"/>
  <c r="H12" i="5"/>
  <c r="B12" i="5"/>
  <c r="H11" i="5"/>
  <c r="B11" i="5"/>
  <c r="H10" i="5"/>
  <c r="B10" i="5"/>
  <c r="H9" i="5"/>
  <c r="B9" i="5"/>
  <c r="H8" i="5"/>
  <c r="B8" i="5"/>
  <c r="H7" i="5"/>
  <c r="B7" i="5"/>
  <c r="H6" i="5"/>
  <c r="B6" i="5"/>
  <c r="H5" i="5"/>
  <c r="B5" i="5"/>
  <c r="H4" i="5"/>
  <c r="B4" i="5"/>
  <c r="J39" i="4"/>
  <c r="B39" i="4"/>
  <c r="J38" i="4"/>
  <c r="B38" i="4"/>
  <c r="J37" i="4"/>
  <c r="B37" i="4"/>
  <c r="J39" i="2"/>
  <c r="B39" i="2"/>
  <c r="J38" i="2"/>
  <c r="B38" i="2"/>
  <c r="J37" i="2"/>
  <c r="B37" i="2"/>
  <c r="E5" i="2" l="1"/>
  <c r="E4" i="2"/>
  <c r="K4" i="2" l="1"/>
  <c r="K3" i="2"/>
  <c r="D6" i="2" l="1"/>
  <c r="E6" i="2"/>
  <c r="D5" i="2"/>
  <c r="D4" i="2"/>
  <c r="D3" i="2"/>
  <c r="E3" i="2"/>
  <c r="K5" i="2" l="1"/>
  <c r="K6" i="2"/>
</calcChain>
</file>

<file path=xl/sharedStrings.xml><?xml version="1.0" encoding="utf-8"?>
<sst xmlns="http://schemas.openxmlformats.org/spreadsheetml/2006/main" count="508" uniqueCount="92">
  <si>
    <t>S.C Courense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</si>
  <si>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</si>
  <si>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</si>
  <si>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</si>
  <si>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</si>
  <si>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</si>
  <si>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</si>
  <si>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</si>
  <si>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</si>
  <si>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</si>
  <si>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</si>
  <si>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</si>
  <si>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Desportivo de Porto D`Ave</t>
  </si>
  <si>
    <t>Ancora Praia Fc</t>
  </si>
  <si>
    <t>Clube Caçadores Os Torreenses</t>
  </si>
  <si>
    <t>GD Areosense</t>
  </si>
  <si>
    <t>Desportivo de Monção</t>
  </si>
  <si>
    <t>ED Val Miñor Nigrán</t>
  </si>
  <si>
    <t xml:space="preserve"> "Os Ceramistas"</t>
  </si>
  <si>
    <t>Academia Sporting de Barcelos</t>
  </si>
  <si>
    <t>CD Lousado</t>
  </si>
  <si>
    <t xml:space="preserve">S.C Courense </t>
  </si>
  <si>
    <t>União Desportiva São Verissimo</t>
  </si>
  <si>
    <t>Os Cokinhas</t>
  </si>
  <si>
    <t>ARC Guilhadeses</t>
  </si>
  <si>
    <t>Porriño Industrial</t>
  </si>
  <si>
    <t>FC Famalicão</t>
  </si>
  <si>
    <t>CC Os Torreenses</t>
  </si>
  <si>
    <t>GD de Porto D`Ave</t>
  </si>
  <si>
    <t>Acad. Sporting de Barcelos</t>
  </si>
  <si>
    <t>UD São Verissimo</t>
  </si>
  <si>
    <t>Grupo A</t>
  </si>
  <si>
    <t>Grupo B</t>
  </si>
  <si>
    <t>Grupo C</t>
  </si>
  <si>
    <t>Grupo D</t>
  </si>
  <si>
    <t>Jogo 1</t>
  </si>
  <si>
    <t>Jogo 2</t>
  </si>
  <si>
    <t>Jogo 3</t>
  </si>
  <si>
    <t>Jogo 4</t>
  </si>
  <si>
    <t>Jogo 5</t>
  </si>
  <si>
    <t>Jogo 7</t>
  </si>
  <si>
    <t>Venc J3</t>
  </si>
  <si>
    <t>Jogo 6</t>
  </si>
  <si>
    <t>Jogo 8</t>
  </si>
  <si>
    <t>Venc J4</t>
  </si>
  <si>
    <t>Jogo 9</t>
  </si>
  <si>
    <t>Jogo 10</t>
  </si>
  <si>
    <t>Jogo 11</t>
  </si>
  <si>
    <t>Jogo 12</t>
  </si>
  <si>
    <t>F11+D29+D17</t>
  </si>
  <si>
    <t>D11+F29+F17</t>
  </si>
  <si>
    <t>D11+F13+F33</t>
  </si>
  <si>
    <t>F11+D13+D33</t>
  </si>
  <si>
    <t>D9+F29+D33</t>
  </si>
  <si>
    <t>F9+D29+F33</t>
  </si>
  <si>
    <t>F14+F34+D27</t>
  </si>
  <si>
    <t>SOMA(D14+D34+F27)</t>
  </si>
  <si>
    <t>D25+F30+D34</t>
  </si>
  <si>
    <t>F25+D30+F34</t>
  </si>
  <si>
    <t>SOMA(D16+F26+F20)</t>
  </si>
  <si>
    <t>$D$13+$F$9+$F$17</t>
  </si>
  <si>
    <t>$D$9+$F$13+$D$17</t>
  </si>
  <si>
    <t>SOMA(F27+D30+D18)</t>
  </si>
  <si>
    <t>SOMA(F18+F30+D27)</t>
  </si>
  <si>
    <t>$D$14+$F$25+$F$18</t>
  </si>
  <si>
    <t>$D$25+$D$18+$F$14</t>
  </si>
  <si>
    <t>F19+D15+F10</t>
  </si>
  <si>
    <t>$D$12+$F$15+$F$35</t>
  </si>
  <si>
    <t>SOMA(F12+D15+D35)</t>
  </si>
  <si>
    <t>$D$10+$D$35+$F$31</t>
  </si>
  <si>
    <t>SOMA(F10+D31+F35)</t>
  </si>
  <si>
    <t>$D$19+$F$12+$D$31</t>
  </si>
  <si>
    <t>SOMA(D12+F19+F31)</t>
  </si>
  <si>
    <t>$D$36+$F$32+$D$26</t>
  </si>
  <si>
    <t>$F$36+$D$32+$F$26</t>
  </si>
  <si>
    <t>SOMA(F16+D26+D20)</t>
  </si>
  <si>
    <t>SOMA(F16+F36+D28)</t>
  </si>
  <si>
    <t>SOMA(D36;F28;D16)</t>
  </si>
  <si>
    <t>SOMA(D20+F28+D32)</t>
  </si>
  <si>
    <t>SOMA(F20+F32+D28)</t>
  </si>
  <si>
    <t>Terceiros</t>
  </si>
  <si>
    <t>Final</t>
  </si>
  <si>
    <t>Jogo 13</t>
  </si>
  <si>
    <t>Jogo 14</t>
  </si>
  <si>
    <t>Venc J9</t>
  </si>
  <si>
    <t>Venc J10</t>
  </si>
  <si>
    <t>Venc J11</t>
  </si>
  <si>
    <t>Venc J12</t>
  </si>
  <si>
    <t>Venc J5</t>
  </si>
  <si>
    <t>Venc J7</t>
  </si>
  <si>
    <t>Venc J6</t>
  </si>
  <si>
    <t>Venc J8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</si>
</sst>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FA7D00"/>
      <name val="Arial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5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2" fillId="0" borderId="3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5" fillId="2" borderId="1" xfId="1" applyFont="1" applyAlignment="1" applyProtection="1">
      <alignment horizontal="center" vertical="center"/>
      <protection locked="0"/>
    </xf>
    <xf numFmtId="0" fontId="5" fillId="2" borderId="1" xfId="1" applyFont="1" applyAlignment="1" applyProtection="1">
      <alignment horizontal="center" vertical="center"/>
      <protection hidden="1"/>
    </xf>
    <xf numFmtId="0" fontId="2" fillId="5" borderId="2" xfId="0" applyFont="1" applyFill="1" applyBorder="1" applyAlignment="1" applyProtection="1">
      <alignment horizontal="center" vertical="center"/>
      <protection hidden="1"/>
    </xf>
    <xf numFmtId="0" fontId="2" fillId="6" borderId="2" xfId="0" applyFont="1" applyFill="1" applyBorder="1" applyAlignment="1" applyProtection="1">
      <alignment horizontal="center" vertical="center"/>
      <protection hidden="1"/>
    </xf>
    <xf numFmtId="0" fontId="2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/>
    <xf numFmtId="0" fontId="2" fillId="5" borderId="3" xfId="0" applyFont="1" applyFill="1" applyBorder="1" applyAlignment="1" applyProtection="1">
      <alignment horizontal="center" vertical="center"/>
      <protection hidden="1"/>
    </xf>
    <xf numFmtId="0" fontId="2" fillId="7" borderId="3" xfId="0" applyFont="1" applyFill="1" applyBorder="1" applyAlignment="1" applyProtection="1">
      <alignment horizontal="center" vertical="center"/>
      <protection hidden="1"/>
    </xf>
    <xf numFmtId="0" fontId="2" fillId="6" borderId="3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/>
    <xf numFmtId="0" fontId="0" fillId="3" borderId="6" xfId="0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8" borderId="7" xfId="0" applyFont="1" applyFill="1" applyBorder="1" applyAlignment="1">
      <alignment horizontal="center" vertical="center"/>
    </xf>
    <xf numFmtId="0" fontId="0" fillId="8" borderId="4" xfId="0" applyFont="1" applyFill="1" applyBorder="1" applyAlignment="1">
      <alignment horizontal="center" vertical="center"/>
    </xf>
    <xf numFmtId="0" fontId="8" fillId="0" borderId="0" xfId="0" applyFont="1"/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2" fillId="6" borderId="3" xfId="0" applyFont="1" applyFill="1" applyBorder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2" fillId="7" borderId="3" xfId="0" applyFont="1" applyFill="1" applyBorder="1" applyAlignment="1" applyProtection="1">
      <alignment horizontal="center" vertical="center"/>
      <protection hidden="1"/>
    </xf>
    <xf numFmtId="0" fontId="2" fillId="7" borderId="0" xfId="0" applyFont="1" applyFill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20" fontId="0" fillId="0" borderId="0" xfId="0" applyNumberFormat="1" applyFill="1"/>
    <xf numFmtId="0" fontId="0" fillId="0" borderId="0" xfId="0" applyFont="1" applyFill="1" applyBorder="1" applyAlignment="1">
      <alignment horizontal="center" vertical="center"/>
    </xf>
    <xf numFmtId="0" fontId="5" fillId="0" borderId="1" xfId="1" applyFont="1" applyFill="1" applyAlignment="1" applyProtection="1">
      <alignment horizontal="center" vertical="center"/>
      <protection locked="0"/>
    </xf>
    <xf numFmtId="0" fontId="5" fillId="0" borderId="1" xfId="1" applyFont="1" applyFill="1" applyAlignment="1" applyProtection="1">
      <alignment horizontal="center" vertical="center"/>
      <protection hidden="1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8" fillId="0" borderId="0" xfId="0" applyFont="1" applyAlignment="1">
      <alignment horizontal="center" vertical="center"/>
    </xf>
  </cellXfs>
  <cellStyles count="2">
    <cellStyle name="Cálculo" xfId="1" builtinId="22"/>
    <cellStyle name="Normal" xfId="0" builtinId="0"/>
  </cellStyles>
  <dxfs count="44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3</xdr:row>
          <xdr:rowOff>180975</xdr:rowOff>
        </xdr:from>
        <xdr:to>
          <xdr:col>13</xdr:col>
          <xdr:colOff>95250</xdr:colOff>
          <xdr:row>7</xdr:row>
          <xdr:rowOff>104775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19050</xdr:rowOff>
        </xdr:from>
        <xdr:to>
          <xdr:col>12</xdr:col>
          <xdr:colOff>295275</xdr:colOff>
          <xdr:row>11</xdr:row>
          <xdr:rowOff>142875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C2:K6" totalsRowShown="0" headerRowDxfId="43" dataDxfId="42">
  <autoFilter ref="C2:K6" xr:uid="{00000000-0009-0000-0100-000002000000}"/>
  <sortState ref="C3:K6">
    <sortCondition descending="1" ref="D2:D6"/>
  </sortState>
  <tableColumns count="9">
    <tableColumn id="1" xr3:uid="{00000000-0010-0000-0000-000001000000}" name="Equipa" dataDxfId="41"/>
    <tableColumn id="2" xr3:uid="{00000000-0010-0000-0000-000002000000}" name="Pontos" dataDxfId="40">
      <calculatedColumnFormula>F3*3+G3</calculatedColumnFormula>
    </tableColumn>
    <tableColumn id="3" xr3:uid="{00000000-0010-0000-0000-000003000000}" name="J" dataDxfId="39">
      <calculatedColumnFormula>SUM(F3:H3)</calculatedColumnFormula>
    </tableColumn>
    <tableColumn id="4" xr3:uid="{00000000-0010-0000-0000-000004000000}" name="V" dataDxfId="38"/>
    <tableColumn id="5" xr3:uid="{00000000-0010-0000-0000-000005000000}" name="E" dataDxfId="37"/>
    <tableColumn id="6" xr3:uid="{00000000-0010-0000-0000-000006000000}" name="D" dataDxfId="36"/>
    <tableColumn id="7" xr3:uid="{00000000-0010-0000-0000-000007000000}" name="GM" dataDxfId="35">
      <calculatedColumnFormula>$D$13+$F$9+$F$17</calculatedColumnFormula>
    </tableColumn>
    <tableColumn id="8" xr3:uid="{00000000-0010-0000-0000-000008000000}" name="GS" dataDxfId="34">
      <calculatedColumnFormula>$D$9+$F$13+$D$17</calculatedColumnFormula>
    </tableColumn>
    <tableColumn id="9" xr3:uid="{00000000-0010-0000-0000-000009000000}" name="DIFG" dataDxfId="33">
      <calculatedColumnFormula>I3-J3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25" displayName="Tabela25" ref="C2:K6" totalsRowShown="0" headerRowDxfId="32" dataDxfId="31">
  <autoFilter ref="C2:K6" xr:uid="{00000000-0009-0000-0100-000004000000}"/>
  <sortState ref="C3:K6">
    <sortCondition descending="1" ref="D2:D6"/>
  </sortState>
  <tableColumns count="9">
    <tableColumn id="1" xr3:uid="{00000000-0010-0000-0100-000001000000}" name="Equipa" dataDxfId="30"/>
    <tableColumn id="2" xr3:uid="{00000000-0010-0000-0100-000002000000}" name="Pontos" dataDxfId="29">
      <calculatedColumnFormula>F3*3+G3</calculatedColumnFormula>
    </tableColumn>
    <tableColumn id="3" xr3:uid="{00000000-0010-0000-0100-000003000000}" name="J" dataDxfId="28">
      <calculatedColumnFormula>SUM(F3:H3)</calculatedColumnFormula>
    </tableColumn>
    <tableColumn id="4" xr3:uid="{00000000-0010-0000-0100-000004000000}" name="V" dataDxfId="27"/>
    <tableColumn id="5" xr3:uid="{00000000-0010-0000-0100-000005000000}" name="E" dataDxfId="26"/>
    <tableColumn id="6" xr3:uid="{00000000-0010-0000-0100-000006000000}" name="D" dataDxfId="25"/>
    <tableColumn id="7" xr3:uid="{00000000-0010-0000-0100-000007000000}" name="GM" dataDxfId="24">
      <calculatedColumnFormula>$D$14+$F$25+$F$18</calculatedColumnFormula>
    </tableColumn>
    <tableColumn id="8" xr3:uid="{00000000-0010-0000-0100-000008000000}" name="GS" dataDxfId="23">
      <calculatedColumnFormula>$D$25+$D$18+$F$14</calculatedColumnFormula>
    </tableColumn>
    <tableColumn id="9" xr3:uid="{00000000-0010-0000-0100-000009000000}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ela256" displayName="Tabela256" ref="C2:K6" totalsRowShown="0" headerRowDxfId="21" dataDxfId="20">
  <autoFilter ref="C2:K6" xr:uid="{00000000-0009-0000-0100-000005000000}"/>
  <sortState ref="C3:K6">
    <sortCondition descending="1" ref="D2:D6"/>
  </sortState>
  <tableColumns count="9">
    <tableColumn id="1" xr3:uid="{00000000-0010-0000-0200-000001000000}" name="Equipa" dataDxfId="19"/>
    <tableColumn id="2" xr3:uid="{00000000-0010-0000-0200-000002000000}" name="Pontos" dataDxfId="18">
      <calculatedColumnFormula>F3*3+G3</calculatedColumnFormula>
    </tableColumn>
    <tableColumn id="3" xr3:uid="{00000000-0010-0000-0200-000003000000}" name="J" dataDxfId="17">
      <calculatedColumnFormula>SUM(F3:H3)</calculatedColumnFormula>
    </tableColumn>
    <tableColumn id="4" xr3:uid="{00000000-0010-0000-0200-000004000000}" name="V" dataDxfId="16"/>
    <tableColumn id="5" xr3:uid="{00000000-0010-0000-0200-000005000000}" name="E" dataDxfId="15"/>
    <tableColumn id="6" xr3:uid="{00000000-0010-0000-0200-000006000000}" name="D" dataDxfId="14"/>
    <tableColumn id="7" xr3:uid="{00000000-0010-0000-0200-000007000000}" name="GM" dataDxfId="13">
      <calculatedColumnFormula>$D$10+$D$35+$F$31</calculatedColumnFormula>
    </tableColumn>
    <tableColumn id="8" xr3:uid="{00000000-0010-0000-0200-000008000000}" name="GS" dataDxfId="12">
      <calculatedColumnFormula>SUM(D10+F15+D19)</calculatedColumnFormula>
    </tableColumn>
    <tableColumn id="9" xr3:uid="{00000000-0010-0000-0200-000009000000}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ela2562" displayName="Tabela2562" ref="C2:K6" totalsRowShown="0" headerRowDxfId="10" dataDxfId="9">
  <autoFilter ref="C2:K6" xr:uid="{00000000-0009-0000-0100-000001000000}"/>
  <sortState ref="C3:K6">
    <sortCondition descending="1" ref="D2:D6"/>
  </sortState>
  <tableColumns count="9">
    <tableColumn id="1" xr3:uid="{00000000-0010-0000-0300-000001000000}" name="Equipa" dataDxfId="8"/>
    <tableColumn id="2" xr3:uid="{00000000-0010-0000-0300-000002000000}" name="Pontos" dataDxfId="7">
      <calculatedColumnFormula>F3*3+G3</calculatedColumnFormula>
    </tableColumn>
    <tableColumn id="3" xr3:uid="{00000000-0010-0000-0300-000003000000}" name="J" dataDxfId="6">
      <calculatedColumnFormula>SUM(F3:H3)</calculatedColumnFormula>
    </tableColumn>
    <tableColumn id="4" xr3:uid="{00000000-0010-0000-0300-000004000000}" name="V" dataDxfId="5"/>
    <tableColumn id="5" xr3:uid="{00000000-0010-0000-0300-000005000000}" name="E" dataDxfId="4"/>
    <tableColumn id="6" xr3:uid="{00000000-0010-0000-0300-000006000000}" name="D" dataDxfId="3"/>
    <tableColumn id="7" xr3:uid="{00000000-0010-0000-0300-000007000000}" name="GM" dataDxfId="2">
      <calculatedColumnFormula>$D$36+$F$32+$D$26</calculatedColumnFormula>
    </tableColumn>
    <tableColumn id="8" xr3:uid="{00000000-0010-0000-0300-000008000000}" name="GS" dataDxfId="1">
      <calculatedColumnFormula>$F$20+$F$32+$D$28</calculatedColumnFormula>
    </tableColumn>
    <tableColumn id="9" xr3:uid="{00000000-0010-0000-0300-000009000000}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M33"/>
  <sheetViews>
    <sheetView workbookViewId="0">
      <selection activeCell="D13" sqref="D13:F14"/>
    </sheetView>
  </sheetViews>
  <sheetFormatPr defaultRowHeight="15" x14ac:dyDescent="0.25"/>
  <cols>
    <col min="3" max="3" width="23.7109375" style="4" bestFit="1" customWidth="1"/>
    <col min="7" max="7" width="23.7109375" style="4" bestFit="1" customWidth="1"/>
  </cols>
  <sheetData>
    <row r="3" spans="1:13" x14ac:dyDescent="0.25">
      <c r="A3" s="5">
        <v>0.375</v>
      </c>
      <c r="B3" t="str">
        <f>IF(D3="","-",IF(D3=F3,"E",IF(D3&gt;F3,"V","D")))</f>
        <v>D</v>
      </c>
      <c r="C3" s="8" t="s">
        <v>27</v>
      </c>
      <c r="D3" s="9">
        <v>0</v>
      </c>
      <c r="E3" s="10" t="s">
        <v>2</v>
      </c>
      <c r="F3" s="9">
        <v>5</v>
      </c>
      <c r="G3" s="15" t="s">
        <v>0</v>
      </c>
      <c r="H3" t="str">
        <f>IF(F3="","-",IF(F3=D3,"E",IF(F3&gt;D3,"V","D")))</f>
        <v>V</v>
      </c>
    </row>
    <row r="4" spans="1:13" x14ac:dyDescent="0.25">
      <c r="A4" s="5">
        <v>0.3923611111111111</v>
      </c>
      <c r="B4" t="str">
        <f t="shared" ref="B4:B33" si="0">IF(D4="","-",IF(D4=F4,"E",IF(D4&gt;F4,"V","D")))</f>
        <v>D</v>
      </c>
      <c r="C4" s="8" t="s">
        <v>15</v>
      </c>
      <c r="D4" s="9">
        <v>2</v>
      </c>
      <c r="E4" s="10" t="s">
        <v>2</v>
      </c>
      <c r="F4" s="9">
        <v>6</v>
      </c>
      <c r="G4" s="15" t="s">
        <v>16</v>
      </c>
      <c r="H4" t="str">
        <f t="shared" ref="H4:H33" si="1">IF(F4="","-",IF(F4=D4,"E",IF(F4&gt;D4,"V","D")))</f>
        <v>V</v>
      </c>
    </row>
    <row r="5" spans="1:13" x14ac:dyDescent="0.25">
      <c r="A5" s="5">
        <v>0.40972222222222221</v>
      </c>
      <c r="B5" t="str">
        <f t="shared" si="0"/>
        <v>D</v>
      </c>
      <c r="C5" s="12" t="s">
        <v>1</v>
      </c>
      <c r="D5" s="9">
        <v>1</v>
      </c>
      <c r="E5" s="10" t="s">
        <v>2</v>
      </c>
      <c r="F5" s="9">
        <v>2</v>
      </c>
      <c r="G5" s="16" t="s">
        <v>17</v>
      </c>
      <c r="H5" t="str">
        <f t="shared" si="1"/>
        <v>V</v>
      </c>
    </row>
    <row r="6" spans="1:13" x14ac:dyDescent="0.25">
      <c r="A6" s="5">
        <v>0.42708333333333331</v>
      </c>
      <c r="B6" t="str">
        <f t="shared" si="0"/>
        <v>V</v>
      </c>
      <c r="C6" s="12" t="s">
        <v>28</v>
      </c>
      <c r="D6" s="9">
        <v>1</v>
      </c>
      <c r="E6" s="10" t="s">
        <v>2</v>
      </c>
      <c r="F6" s="9">
        <v>0</v>
      </c>
      <c r="G6" s="16" t="s">
        <v>18</v>
      </c>
      <c r="H6" t="str">
        <f t="shared" si="1"/>
        <v>D</v>
      </c>
      <c r="K6" s="20"/>
    </row>
    <row r="7" spans="1:13" x14ac:dyDescent="0.25">
      <c r="A7" s="5">
        <v>0.58333333333333337</v>
      </c>
      <c r="B7" t="str">
        <f t="shared" si="0"/>
        <v>D</v>
      </c>
      <c r="C7" s="11" t="s">
        <v>0</v>
      </c>
      <c r="D7" s="9">
        <v>0</v>
      </c>
      <c r="E7" s="10" t="s">
        <v>2</v>
      </c>
      <c r="F7" s="9">
        <v>6</v>
      </c>
      <c r="G7" s="17" t="s">
        <v>1</v>
      </c>
      <c r="H7" t="str">
        <f t="shared" si="1"/>
        <v>V</v>
      </c>
    </row>
    <row r="8" spans="1:13" x14ac:dyDescent="0.25">
      <c r="A8" s="5">
        <v>0.60069444444444453</v>
      </c>
      <c r="B8" t="str">
        <f t="shared" si="0"/>
        <v>E</v>
      </c>
      <c r="C8" s="11" t="s">
        <v>25</v>
      </c>
      <c r="D8" s="9">
        <v>2</v>
      </c>
      <c r="E8" s="10" t="s">
        <v>2</v>
      </c>
      <c r="F8" s="9">
        <v>2</v>
      </c>
      <c r="G8" s="17" t="s">
        <v>29</v>
      </c>
      <c r="H8" t="str">
        <f t="shared" si="1"/>
        <v>E</v>
      </c>
    </row>
    <row r="9" spans="1:13" x14ac:dyDescent="0.25">
      <c r="A9" s="5">
        <v>0.61805555555555569</v>
      </c>
      <c r="B9" t="str">
        <f t="shared" si="0"/>
        <v>V</v>
      </c>
      <c r="C9" s="11" t="s">
        <v>16</v>
      </c>
      <c r="D9" s="9">
        <v>3</v>
      </c>
      <c r="E9" s="10" t="s">
        <v>2</v>
      </c>
      <c r="F9" s="9">
        <v>1</v>
      </c>
      <c r="G9" s="17" t="s">
        <v>28</v>
      </c>
      <c r="H9" t="str">
        <f t="shared" si="1"/>
        <v>D</v>
      </c>
    </row>
    <row r="10" spans="1:13" x14ac:dyDescent="0.25">
      <c r="A10" s="5">
        <v>0.63541666666666685</v>
      </c>
      <c r="B10" t="str">
        <f t="shared" si="0"/>
        <v>V</v>
      </c>
      <c r="C10" s="11" t="s">
        <v>13</v>
      </c>
      <c r="D10" s="9">
        <v>3</v>
      </c>
      <c r="E10" s="10" t="s">
        <v>2</v>
      </c>
      <c r="F10" s="9">
        <v>1</v>
      </c>
      <c r="G10" s="17" t="s">
        <v>20</v>
      </c>
      <c r="H10" t="str">
        <f t="shared" si="1"/>
        <v>D</v>
      </c>
    </row>
    <row r="11" spans="1:13" x14ac:dyDescent="0.25">
      <c r="A11" s="5">
        <v>0.70486111111111149</v>
      </c>
      <c r="B11" t="str">
        <f t="shared" si="0"/>
        <v>V</v>
      </c>
      <c r="C11" s="13" t="s">
        <v>17</v>
      </c>
      <c r="D11" s="9">
        <v>6</v>
      </c>
      <c r="E11" s="10" t="s">
        <v>2</v>
      </c>
      <c r="F11" s="9">
        <v>0</v>
      </c>
      <c r="G11" s="15" t="s">
        <v>21</v>
      </c>
      <c r="H11" t="str">
        <f t="shared" si="1"/>
        <v>D</v>
      </c>
    </row>
    <row r="12" spans="1:13" x14ac:dyDescent="0.25">
      <c r="A12" s="5">
        <v>0.72222222222222265</v>
      </c>
      <c r="B12" t="str">
        <f t="shared" si="0"/>
        <v>E</v>
      </c>
      <c r="C12" s="13" t="s">
        <v>26</v>
      </c>
      <c r="D12" s="9">
        <v>2</v>
      </c>
      <c r="E12" s="10" t="s">
        <v>2</v>
      </c>
      <c r="F12" s="9">
        <v>2</v>
      </c>
      <c r="G12" s="15" t="s">
        <v>25</v>
      </c>
      <c r="H12" t="str">
        <f t="shared" si="1"/>
        <v>E</v>
      </c>
    </row>
    <row r="13" spans="1:13" x14ac:dyDescent="0.25">
      <c r="A13" s="5">
        <v>0.73958333333333381</v>
      </c>
      <c r="B13" t="str">
        <f t="shared" si="0"/>
        <v>D</v>
      </c>
      <c r="C13" s="13" t="s">
        <v>18</v>
      </c>
      <c r="D13" s="9">
        <v>4</v>
      </c>
      <c r="E13" s="10" t="s">
        <v>2</v>
      </c>
      <c r="F13" s="9">
        <v>5</v>
      </c>
      <c r="G13" s="15" t="s">
        <v>16</v>
      </c>
      <c r="H13" t="str">
        <f t="shared" si="1"/>
        <v>V</v>
      </c>
      <c r="M13" s="20"/>
    </row>
    <row r="14" spans="1:13" x14ac:dyDescent="0.25">
      <c r="A14" s="5">
        <v>0.75694444444444497</v>
      </c>
      <c r="B14" t="str">
        <f t="shared" si="0"/>
        <v>E</v>
      </c>
      <c r="C14" s="13" t="s">
        <v>30</v>
      </c>
      <c r="D14" s="9">
        <v>1</v>
      </c>
      <c r="E14" s="10" t="s">
        <v>2</v>
      </c>
      <c r="F14" s="9">
        <v>1</v>
      </c>
      <c r="G14" s="15" t="s">
        <v>13</v>
      </c>
      <c r="H14" t="str">
        <f t="shared" si="1"/>
        <v>E</v>
      </c>
    </row>
    <row r="15" spans="1:13" x14ac:dyDescent="0.25">
      <c r="A15" s="5"/>
      <c r="B15" t="str">
        <f t="shared" si="0"/>
        <v>-</v>
      </c>
      <c r="C15" s="1"/>
      <c r="D15" s="2"/>
      <c r="E15" s="3"/>
      <c r="F15" s="2"/>
      <c r="G15" s="19"/>
      <c r="H15" t="str">
        <f t="shared" si="1"/>
        <v>-</v>
      </c>
    </row>
    <row r="16" spans="1:13" x14ac:dyDescent="0.25">
      <c r="A16" s="5"/>
      <c r="B16" t="str">
        <f t="shared" si="0"/>
        <v>-</v>
      </c>
      <c r="C16" s="1"/>
      <c r="D16" s="2"/>
      <c r="E16" s="3"/>
      <c r="F16" s="2"/>
      <c r="G16" s="19"/>
      <c r="H16" t="str">
        <f t="shared" si="1"/>
        <v>-</v>
      </c>
    </row>
    <row r="17" spans="1:13" x14ac:dyDescent="0.25">
      <c r="A17" s="5"/>
      <c r="B17" t="str">
        <f t="shared" si="0"/>
        <v>-</v>
      </c>
      <c r="C17" s="1"/>
      <c r="D17" s="2"/>
      <c r="E17" s="3"/>
      <c r="F17" s="2"/>
      <c r="G17" s="19"/>
      <c r="H17" t="str">
        <f t="shared" si="1"/>
        <v>-</v>
      </c>
    </row>
    <row r="18" spans="1:13" x14ac:dyDescent="0.25">
      <c r="B18" t="str">
        <f t="shared" si="0"/>
        <v>-</v>
      </c>
      <c r="C18" s="1"/>
      <c r="D18" s="2"/>
      <c r="E18" s="3"/>
      <c r="F18" s="2"/>
      <c r="G18" s="19"/>
      <c r="H18" t="str">
        <f t="shared" si="1"/>
        <v>-</v>
      </c>
      <c r="K18" s="20"/>
      <c r="M18" s="20"/>
    </row>
    <row r="19" spans="1:13" x14ac:dyDescent="0.25">
      <c r="A19" s="5">
        <v>0.375</v>
      </c>
      <c r="B19" t="str">
        <f t="shared" si="0"/>
        <v>D</v>
      </c>
      <c r="C19" s="8" t="s">
        <v>23</v>
      </c>
      <c r="D19" s="9">
        <v>0</v>
      </c>
      <c r="E19" s="10" t="s">
        <v>2</v>
      </c>
      <c r="F19" s="9">
        <v>2</v>
      </c>
      <c r="G19" s="15" t="s">
        <v>25</v>
      </c>
      <c r="H19" t="str">
        <f t="shared" si="1"/>
        <v>V</v>
      </c>
    </row>
    <row r="20" spans="1:13" x14ac:dyDescent="0.25">
      <c r="A20" s="5">
        <v>0.3923611111111111</v>
      </c>
      <c r="B20" t="str">
        <f t="shared" si="0"/>
        <v>V</v>
      </c>
      <c r="C20" s="8" t="s">
        <v>24</v>
      </c>
      <c r="D20" s="9">
        <v>2</v>
      </c>
      <c r="E20" s="10" t="s">
        <v>2</v>
      </c>
      <c r="F20" s="9">
        <v>0</v>
      </c>
      <c r="G20" s="15" t="s">
        <v>13</v>
      </c>
      <c r="H20" t="str">
        <f t="shared" si="1"/>
        <v>D</v>
      </c>
    </row>
    <row r="21" spans="1:13" x14ac:dyDescent="0.25">
      <c r="A21" s="5">
        <v>0.40972222222222221</v>
      </c>
      <c r="B21" t="str">
        <f t="shared" si="0"/>
        <v>E</v>
      </c>
      <c r="C21" s="12" t="s">
        <v>29</v>
      </c>
      <c r="D21" s="9">
        <v>1</v>
      </c>
      <c r="E21" s="10" t="s">
        <v>2</v>
      </c>
      <c r="F21" s="9">
        <v>1</v>
      </c>
      <c r="G21" s="16" t="s">
        <v>26</v>
      </c>
      <c r="H21" t="str">
        <f t="shared" si="1"/>
        <v>E</v>
      </c>
    </row>
    <row r="22" spans="1:13" x14ac:dyDescent="0.25">
      <c r="A22" s="5">
        <v>0.42708333333333331</v>
      </c>
      <c r="B22" t="str">
        <f t="shared" si="0"/>
        <v>E</v>
      </c>
      <c r="C22" s="12" t="s">
        <v>20</v>
      </c>
      <c r="D22" s="9">
        <v>0</v>
      </c>
      <c r="E22" s="10" t="s">
        <v>2</v>
      </c>
      <c r="F22" s="9">
        <v>0</v>
      </c>
      <c r="G22" s="16" t="s">
        <v>30</v>
      </c>
      <c r="H22" t="str">
        <f t="shared" si="1"/>
        <v>E</v>
      </c>
    </row>
    <row r="23" spans="1:13" x14ac:dyDescent="0.25">
      <c r="A23" s="5">
        <v>0.58333333333333337</v>
      </c>
      <c r="B23" t="str">
        <f t="shared" si="0"/>
        <v>V</v>
      </c>
      <c r="C23" s="13" t="s">
        <v>17</v>
      </c>
      <c r="D23" s="9">
        <v>3</v>
      </c>
      <c r="E23" s="10" t="s">
        <v>2</v>
      </c>
      <c r="F23" s="9">
        <v>0</v>
      </c>
      <c r="G23" s="18" t="s">
        <v>27</v>
      </c>
      <c r="H23" t="str">
        <f t="shared" si="1"/>
        <v>D</v>
      </c>
    </row>
    <row r="24" spans="1:13" x14ac:dyDescent="0.25">
      <c r="A24" s="5">
        <v>0.60069444444444453</v>
      </c>
      <c r="B24" t="str">
        <f t="shared" si="0"/>
        <v>V</v>
      </c>
      <c r="C24" s="13" t="s">
        <v>26</v>
      </c>
      <c r="D24" s="9">
        <v>1</v>
      </c>
      <c r="E24" s="10" t="s">
        <v>2</v>
      </c>
      <c r="F24" s="9">
        <v>0</v>
      </c>
      <c r="G24" s="18" t="s">
        <v>23</v>
      </c>
      <c r="H24" t="str">
        <f t="shared" si="1"/>
        <v>D</v>
      </c>
    </row>
    <row r="25" spans="1:13" x14ac:dyDescent="0.25">
      <c r="A25" s="5">
        <v>0.61805555555555569</v>
      </c>
      <c r="B25" t="str">
        <f t="shared" si="0"/>
        <v>V</v>
      </c>
      <c r="C25" s="13" t="s">
        <v>18</v>
      </c>
      <c r="D25" s="9">
        <v>2</v>
      </c>
      <c r="E25" s="10" t="s">
        <v>2</v>
      </c>
      <c r="F25" s="9">
        <v>0</v>
      </c>
      <c r="G25" s="18" t="s">
        <v>15</v>
      </c>
      <c r="H25" t="str">
        <f t="shared" si="1"/>
        <v>D</v>
      </c>
    </row>
    <row r="26" spans="1:13" x14ac:dyDescent="0.25">
      <c r="A26" s="5">
        <v>0.63541666666666685</v>
      </c>
      <c r="B26" t="str">
        <f t="shared" si="0"/>
        <v>V</v>
      </c>
      <c r="C26" s="13" t="s">
        <v>30</v>
      </c>
      <c r="D26" s="9">
        <v>1</v>
      </c>
      <c r="E26" s="10" t="s">
        <v>2</v>
      </c>
      <c r="F26" s="9">
        <v>0</v>
      </c>
      <c r="G26" s="18" t="s">
        <v>24</v>
      </c>
      <c r="H26" t="str">
        <f t="shared" si="1"/>
        <v>D</v>
      </c>
    </row>
    <row r="27" spans="1:13" x14ac:dyDescent="0.25">
      <c r="A27" s="5">
        <v>0.70486111111111149</v>
      </c>
      <c r="B27" t="str">
        <f t="shared" si="0"/>
        <v>D</v>
      </c>
      <c r="C27" s="8" t="s">
        <v>27</v>
      </c>
      <c r="D27" s="9">
        <v>0</v>
      </c>
      <c r="E27" s="10" t="s">
        <v>2</v>
      </c>
      <c r="F27" s="9">
        <v>5</v>
      </c>
      <c r="G27" s="17" t="s">
        <v>1</v>
      </c>
      <c r="H27" t="str">
        <f t="shared" si="1"/>
        <v>V</v>
      </c>
    </row>
    <row r="28" spans="1:13" x14ac:dyDescent="0.25">
      <c r="A28" s="5">
        <v>0.72222222222222265</v>
      </c>
      <c r="B28" t="str">
        <f t="shared" si="0"/>
        <v>D</v>
      </c>
      <c r="C28" s="8" t="s">
        <v>23</v>
      </c>
      <c r="D28" s="9">
        <v>0</v>
      </c>
      <c r="E28" s="10" t="s">
        <v>2</v>
      </c>
      <c r="F28" s="9">
        <v>5</v>
      </c>
      <c r="G28" s="17" t="s">
        <v>29</v>
      </c>
      <c r="H28" t="str">
        <f t="shared" si="1"/>
        <v>V</v>
      </c>
    </row>
    <row r="29" spans="1:13" x14ac:dyDescent="0.25">
      <c r="A29" s="5">
        <v>0.73958333333333381</v>
      </c>
      <c r="B29" t="str">
        <f t="shared" si="0"/>
        <v>D</v>
      </c>
      <c r="C29" s="8" t="s">
        <v>15</v>
      </c>
      <c r="D29" s="9">
        <v>2</v>
      </c>
      <c r="E29" s="10" t="s">
        <v>2</v>
      </c>
      <c r="F29" s="9">
        <v>4</v>
      </c>
      <c r="G29" s="17" t="s">
        <v>28</v>
      </c>
      <c r="H29" t="str">
        <f t="shared" si="1"/>
        <v>V</v>
      </c>
    </row>
    <row r="30" spans="1:13" x14ac:dyDescent="0.25">
      <c r="A30" s="5">
        <v>0.75694444444444497</v>
      </c>
      <c r="B30" t="str">
        <f t="shared" si="0"/>
        <v>V</v>
      </c>
      <c r="C30" s="8" t="s">
        <v>24</v>
      </c>
      <c r="D30" s="9">
        <v>6</v>
      </c>
      <c r="E30" s="10" t="s">
        <v>2</v>
      </c>
      <c r="F30" s="9">
        <v>1</v>
      </c>
      <c r="G30" s="17" t="s">
        <v>20</v>
      </c>
      <c r="H30" t="str">
        <f t="shared" si="1"/>
        <v>D</v>
      </c>
    </row>
    <row r="31" spans="1:13" x14ac:dyDescent="0.25">
      <c r="A31" s="5"/>
      <c r="B31" t="str">
        <f t="shared" si="0"/>
        <v>-</v>
      </c>
      <c r="C31" s="1"/>
      <c r="D31" s="2"/>
      <c r="E31" s="3"/>
      <c r="F31" s="2"/>
      <c r="G31" s="19"/>
      <c r="H31" t="str">
        <f t="shared" si="1"/>
        <v>-</v>
      </c>
    </row>
    <row r="32" spans="1:13" x14ac:dyDescent="0.25">
      <c r="A32" s="5"/>
      <c r="B32" t="str">
        <f t="shared" si="0"/>
        <v>-</v>
      </c>
      <c r="C32" s="1"/>
      <c r="D32" s="2"/>
      <c r="E32" s="3"/>
      <c r="F32" s="2"/>
      <c r="G32" s="19"/>
      <c r="H32" t="str">
        <f t="shared" si="1"/>
        <v>-</v>
      </c>
    </row>
    <row r="33" spans="1:8" x14ac:dyDescent="0.25">
      <c r="A33" s="5"/>
      <c r="B33" t="str">
        <f t="shared" si="0"/>
        <v>-</v>
      </c>
      <c r="C33" s="1"/>
      <c r="D33" s="2"/>
      <c r="E33" s="3"/>
      <c r="F33" s="2"/>
      <c r="G33" s="19"/>
      <c r="H33" t="str">
        <f t="shared" si="1"/>
        <v>-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Botão11_Click">
                <anchor moveWithCells="1" sizeWithCells="1">
                  <from>
                    <xdr:col>10</xdr:col>
                    <xdr:colOff>66675</xdr:colOff>
                    <xdr:row>3</xdr:row>
                    <xdr:rowOff>180975</xdr:rowOff>
                  </from>
                  <to>
                    <xdr:col>13</xdr:col>
                    <xdr:colOff>95250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Botão12_Click">
                <anchor moveWithCells="1" sizeWithCells="1">
                  <from>
                    <xdr:col>10</xdr:col>
                    <xdr:colOff>209550</xdr:colOff>
                    <xdr:row>9</xdr:row>
                    <xdr:rowOff>19050</xdr:rowOff>
                  </from>
                  <to>
                    <xdr:col>12</xdr:col>
                    <xdr:colOff>295275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R39"/>
  <sheetViews>
    <sheetView tabSelected="1" workbookViewId="0">
      <selection activeCell="O27" sqref="O27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  <col min="15" max="15" width="31.28515625" bestFit="1" customWidth="1"/>
    <col min="16" max="16" width="12.5703125" bestFit="1" customWidth="1"/>
    <col min="18" max="18" width="12.5703125" bestFit="1" customWidth="1"/>
  </cols>
  <sheetData>
    <row r="1" spans="1:18" s="4" customFormat="1" ht="18.75" x14ac:dyDescent="0.25">
      <c r="C1" s="26" t="s">
        <v>31</v>
      </c>
      <c r="D1" s="26"/>
      <c r="E1" s="26"/>
      <c r="F1" s="26"/>
      <c r="G1" s="26"/>
      <c r="H1" s="26"/>
      <c r="I1" s="26"/>
      <c r="J1" s="26"/>
      <c r="K1" s="27"/>
    </row>
    <row r="2" spans="1:18" s="4" customFormat="1" x14ac:dyDescent="0.25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O2" s="11" t="s">
        <v>21</v>
      </c>
      <c r="P2" s="4" t="s">
        <v>60</v>
      </c>
      <c r="R2" s="4" t="s">
        <v>61</v>
      </c>
    </row>
    <row r="3" spans="1:18" s="4" customFormat="1" x14ac:dyDescent="0.25">
      <c r="C3" s="4" t="s">
        <v>17</v>
      </c>
      <c r="D3" s="4">
        <f>F3*3+G3</f>
        <v>9</v>
      </c>
      <c r="E3" s="4">
        <f>SUM(F3:H3)</f>
        <v>3</v>
      </c>
      <c r="F3" s="4">
        <f>COUNTIF($B$29,"V")+COUNTIF($B$17,"V")+COUNTIF($J$11,"V")</f>
        <v>3</v>
      </c>
      <c r="G3" s="4">
        <f>COUNTIF($B$17,"E")+COUNTIF($B$29,"E")+COUNTIF($J$11,"E")</f>
        <v>0</v>
      </c>
      <c r="H3" s="4">
        <f>COUNTIF($B$17,"D")+COUNTIF($B$29,"D")+COUNTIF($J$11,"D")</f>
        <v>0</v>
      </c>
      <c r="I3" s="4">
        <f>F11+D29+D17</f>
        <v>11</v>
      </c>
      <c r="J3" s="4">
        <f>D11+F29+F17</f>
        <v>1</v>
      </c>
      <c r="K3" s="4">
        <f>I3-J3</f>
        <v>10</v>
      </c>
      <c r="O3" s="8" t="s">
        <v>14</v>
      </c>
      <c r="P3" s="4" t="s">
        <v>53</v>
      </c>
      <c r="R3" s="4" t="s">
        <v>54</v>
      </c>
    </row>
    <row r="4" spans="1:18" s="4" customFormat="1" x14ac:dyDescent="0.25">
      <c r="C4" s="4" t="s">
        <v>1</v>
      </c>
      <c r="D4" s="4">
        <f>F4*3+G4</f>
        <v>6</v>
      </c>
      <c r="E4" s="4">
        <f>SUM(F4:H4)</f>
        <v>3</v>
      </c>
      <c r="F4" s="4">
        <f>COUNTIF($B$11,"V")+COUNTIF($J$33,"V")+COUNTIF($J$13,"V")</f>
        <v>2</v>
      </c>
      <c r="G4" s="4">
        <f>COUNTIF($B$11,"E")+COUNTIF($J$33,"E")+COUNTIF($J$13,"E")</f>
        <v>0</v>
      </c>
      <c r="H4" s="4">
        <f>COUNTIF($B$11,"D")+COUNTIF($J$13,"D")+COUNTIF($J$33,"D")</f>
        <v>1</v>
      </c>
      <c r="I4" s="4">
        <f>D11+F13+F33</f>
        <v>12</v>
      </c>
      <c r="J4" s="4">
        <f>F11+D13+D33</f>
        <v>2</v>
      </c>
      <c r="K4" s="4">
        <f>I4-J4</f>
        <v>10</v>
      </c>
      <c r="O4" s="13" t="s">
        <v>17</v>
      </c>
      <c r="P4" s="4" t="s">
        <v>49</v>
      </c>
      <c r="R4" s="4" t="s">
        <v>50</v>
      </c>
    </row>
    <row r="5" spans="1:18" s="4" customFormat="1" x14ac:dyDescent="0.25">
      <c r="C5" s="4" t="s">
        <v>21</v>
      </c>
      <c r="D5" s="4">
        <f>F5*3+G5</f>
        <v>3</v>
      </c>
      <c r="E5" s="4">
        <f>SUM(F5:H5)</f>
        <v>3</v>
      </c>
      <c r="F5" s="4">
        <f>COUNTIF($B$13,"V")+COUNTIF($J$17,"V")+COUNTIF($J$9,"V")</f>
        <v>1</v>
      </c>
      <c r="G5" s="4">
        <f>COUNTIF($B$13,"E")+COUNTIF($J$17,"E")+COUNTIF($J$9,"E")</f>
        <v>0</v>
      </c>
      <c r="H5" s="4">
        <f>COUNTIF($B$13,"D")+COUNTIF($J$9,"D")+COUNTIF($J$17,"D")</f>
        <v>2</v>
      </c>
      <c r="I5" s="4">
        <f>$D$13+$F$9+$F$17</f>
        <v>5</v>
      </c>
      <c r="J5" s="4">
        <f>$D$9+$F$13+$D$17</f>
        <v>12</v>
      </c>
      <c r="K5" s="4">
        <f>I5-J5</f>
        <v>-7</v>
      </c>
      <c r="O5" s="12" t="s">
        <v>1</v>
      </c>
      <c r="P5" s="4" t="s">
        <v>51</v>
      </c>
      <c r="R5" s="4" t="s">
        <v>52</v>
      </c>
    </row>
    <row r="6" spans="1:18" s="4" customFormat="1" x14ac:dyDescent="0.25">
      <c r="C6" s="4" t="s">
        <v>27</v>
      </c>
      <c r="D6" s="4">
        <f>F6*3+G6</f>
        <v>0</v>
      </c>
      <c r="E6" s="4">
        <f>SUM(F6:H6)</f>
        <v>3</v>
      </c>
      <c r="F6" s="4">
        <f>COUNTIF($B$9,"V")+COUNTIF($J$29,"V")+COUNTIF($B$33,"V")</f>
        <v>0</v>
      </c>
      <c r="G6" s="4">
        <f>COUNTIF($B$9,"E")+COUNTIF($B$33,"E")+COUNTIF($J$29,"E")</f>
        <v>0</v>
      </c>
      <c r="H6" s="4">
        <f>COUNTIF($B$9,"D")+COUNTIF($B$33,"D")+COUNTIF($J$29,"D")</f>
        <v>3</v>
      </c>
      <c r="I6" s="4">
        <f>D9+F29+D33</f>
        <v>0</v>
      </c>
      <c r="J6" s="4">
        <f>F9+D29+F33</f>
        <v>13</v>
      </c>
      <c r="K6" s="4">
        <f>I6-J6</f>
        <v>-13</v>
      </c>
    </row>
    <row r="7" spans="1:18" x14ac:dyDescent="0.25">
      <c r="K7">
        <f>SUBTOTAL(109,Tabela2[DIFG])</f>
        <v>0</v>
      </c>
    </row>
    <row r="9" spans="1:18" x14ac:dyDescent="0.25">
      <c r="A9" s="5">
        <v>0.375</v>
      </c>
      <c r="B9" t="str">
        <f>IF(D9="","-",IF(D9=F9,"E",IF(D9&gt;F9,"V","D")))</f>
        <v>D</v>
      </c>
      <c r="C9" s="8" t="s">
        <v>14</v>
      </c>
      <c r="D9" s="9">
        <v>0</v>
      </c>
      <c r="E9" s="10" t="s">
        <v>2</v>
      </c>
      <c r="F9" s="9">
        <v>5</v>
      </c>
      <c r="G9" s="28" t="s">
        <v>0</v>
      </c>
      <c r="H9" s="29"/>
      <c r="I9" s="29"/>
      <c r="J9" t="str">
        <f>IF(F9="","-",IF(F9=D9,"E",IF(F9&gt;D9,"V","D")))</f>
        <v>V</v>
      </c>
    </row>
    <row r="10" spans="1:18" x14ac:dyDescent="0.25">
      <c r="A10" s="5">
        <v>0.3923611111111111</v>
      </c>
      <c r="B10" t="str">
        <f t="shared" ref="B10:B36" si="0">IF(D10="","-",IF(D10=F10,"E",IF(D10&gt;F10,"V","D")))</f>
        <v>D</v>
      </c>
      <c r="C10" s="8" t="s">
        <v>15</v>
      </c>
      <c r="D10" s="9">
        <v>2</v>
      </c>
      <c r="E10" s="10" t="s">
        <v>2</v>
      </c>
      <c r="F10" s="9">
        <v>6</v>
      </c>
      <c r="G10" s="28" t="s">
        <v>16</v>
      </c>
      <c r="H10" s="29"/>
      <c r="I10" s="29"/>
      <c r="J10" t="str">
        <f t="shared" ref="J10:J36" si="1">IF(F10="","-",IF(F10=D10,"E",IF(F10&gt;D10,"V","D")))</f>
        <v>V</v>
      </c>
    </row>
    <row r="11" spans="1:18" x14ac:dyDescent="0.25">
      <c r="A11" s="5">
        <v>0.40972222222222221</v>
      </c>
      <c r="B11" t="str">
        <f t="shared" si="0"/>
        <v>D</v>
      </c>
      <c r="C11" s="12" t="s">
        <v>1</v>
      </c>
      <c r="D11" s="9">
        <v>1</v>
      </c>
      <c r="E11" s="10" t="s">
        <v>2</v>
      </c>
      <c r="F11" s="9">
        <v>2</v>
      </c>
      <c r="G11" s="32" t="s">
        <v>17</v>
      </c>
      <c r="H11" s="33"/>
      <c r="I11" s="33"/>
      <c r="J11" t="str">
        <f t="shared" si="1"/>
        <v>V</v>
      </c>
    </row>
    <row r="12" spans="1:18" x14ac:dyDescent="0.25">
      <c r="A12" s="5">
        <v>0.42708333333333331</v>
      </c>
      <c r="B12" t="str">
        <f t="shared" si="0"/>
        <v>V</v>
      </c>
      <c r="C12" s="12" t="s">
        <v>12</v>
      </c>
      <c r="D12" s="9">
        <v>1</v>
      </c>
      <c r="E12" s="10" t="s">
        <v>2</v>
      </c>
      <c r="F12" s="9">
        <v>0</v>
      </c>
      <c r="G12" s="32" t="s">
        <v>18</v>
      </c>
      <c r="H12" s="33"/>
      <c r="I12" s="33"/>
      <c r="J12" t="str">
        <f t="shared" si="1"/>
        <v>D</v>
      </c>
    </row>
    <row r="13" spans="1:18" x14ac:dyDescent="0.25">
      <c r="A13" s="5">
        <v>0.58333333333333337</v>
      </c>
      <c r="B13" t="str">
        <f t="shared" si="0"/>
        <v>D</v>
      </c>
      <c r="C13" s="11" t="s">
        <v>0</v>
      </c>
      <c r="D13" s="9">
        <v>0</v>
      </c>
      <c r="E13" s="10" t="s">
        <v>2</v>
      </c>
      <c r="F13" s="9">
        <v>6</v>
      </c>
      <c r="G13" s="30" t="s">
        <v>1</v>
      </c>
      <c r="H13" s="31"/>
      <c r="I13" s="31"/>
      <c r="J13" t="str">
        <f t="shared" si="1"/>
        <v>V</v>
      </c>
    </row>
    <row r="14" spans="1:18" x14ac:dyDescent="0.25">
      <c r="A14" s="5">
        <v>0.60069444444444453</v>
      </c>
      <c r="B14" t="str">
        <f t="shared" si="0"/>
        <v>E</v>
      </c>
      <c r="C14" s="11" t="s">
        <v>25</v>
      </c>
      <c r="D14" s="9">
        <v>2</v>
      </c>
      <c r="E14" s="10" t="s">
        <v>2</v>
      </c>
      <c r="F14" s="9">
        <v>2</v>
      </c>
      <c r="G14" s="30" t="s">
        <v>19</v>
      </c>
      <c r="H14" s="31"/>
      <c r="I14" s="31"/>
      <c r="J14" t="str">
        <f t="shared" si="1"/>
        <v>E</v>
      </c>
    </row>
    <row r="15" spans="1:18" x14ac:dyDescent="0.25">
      <c r="A15" s="5">
        <v>0.61805555555555569</v>
      </c>
      <c r="B15" t="str">
        <f t="shared" si="0"/>
        <v>V</v>
      </c>
      <c r="C15" s="11" t="s">
        <v>16</v>
      </c>
      <c r="D15" s="9">
        <v>3</v>
      </c>
      <c r="E15" s="10" t="s">
        <v>2</v>
      </c>
      <c r="F15" s="9">
        <v>1</v>
      </c>
      <c r="G15" s="30" t="s">
        <v>12</v>
      </c>
      <c r="H15" s="31"/>
      <c r="I15" s="31"/>
      <c r="J15" t="str">
        <f t="shared" si="1"/>
        <v>D</v>
      </c>
    </row>
    <row r="16" spans="1:18" x14ac:dyDescent="0.25">
      <c r="A16" s="5">
        <v>0.63541666666666685</v>
      </c>
      <c r="B16" t="str">
        <f t="shared" si="0"/>
        <v>V</v>
      </c>
      <c r="C16" s="11" t="s">
        <v>13</v>
      </c>
      <c r="D16" s="9">
        <v>3</v>
      </c>
      <c r="E16" s="10" t="s">
        <v>2</v>
      </c>
      <c r="F16" s="9">
        <v>1</v>
      </c>
      <c r="G16" s="30" t="s">
        <v>20</v>
      </c>
      <c r="H16" s="31"/>
      <c r="I16" s="31"/>
      <c r="J16" t="str">
        <f t="shared" si="1"/>
        <v>D</v>
      </c>
    </row>
    <row r="17" spans="1:10" x14ac:dyDescent="0.25">
      <c r="A17" s="5">
        <v>0.70486111111111149</v>
      </c>
      <c r="B17" t="str">
        <f t="shared" si="0"/>
        <v>V</v>
      </c>
      <c r="C17" s="13" t="s">
        <v>17</v>
      </c>
      <c r="D17" s="9">
        <v>6</v>
      </c>
      <c r="E17" s="10" t="s">
        <v>2</v>
      </c>
      <c r="F17" s="9">
        <v>0</v>
      </c>
      <c r="G17" s="28" t="s">
        <v>21</v>
      </c>
      <c r="H17" s="29"/>
      <c r="I17" s="29"/>
      <c r="J17" t="str">
        <f t="shared" si="1"/>
        <v>D</v>
      </c>
    </row>
    <row r="18" spans="1:10" x14ac:dyDescent="0.25">
      <c r="A18" s="5">
        <v>0.72222222222222265</v>
      </c>
      <c r="B18" t="str">
        <f t="shared" si="0"/>
        <v>E</v>
      </c>
      <c r="C18" s="13" t="s">
        <v>26</v>
      </c>
      <c r="D18" s="9">
        <v>2</v>
      </c>
      <c r="E18" s="10" t="s">
        <v>2</v>
      </c>
      <c r="F18" s="9">
        <v>2</v>
      </c>
      <c r="G18" s="28" t="s">
        <v>25</v>
      </c>
      <c r="H18" s="29"/>
      <c r="I18" s="29"/>
      <c r="J18" t="str">
        <f t="shared" si="1"/>
        <v>E</v>
      </c>
    </row>
    <row r="19" spans="1:10" x14ac:dyDescent="0.25">
      <c r="A19" s="5">
        <v>0.73958333333333381</v>
      </c>
      <c r="B19" t="str">
        <f t="shared" si="0"/>
        <v>D</v>
      </c>
      <c r="C19" s="13" t="s">
        <v>18</v>
      </c>
      <c r="D19" s="9">
        <v>4</v>
      </c>
      <c r="E19" s="10" t="s">
        <v>2</v>
      </c>
      <c r="F19" s="9">
        <v>5</v>
      </c>
      <c r="G19" s="28" t="s">
        <v>16</v>
      </c>
      <c r="H19" s="29"/>
      <c r="I19" s="29"/>
      <c r="J19" t="str">
        <f t="shared" si="1"/>
        <v>V</v>
      </c>
    </row>
    <row r="20" spans="1:10" x14ac:dyDescent="0.25">
      <c r="A20" s="5">
        <v>0.75694444444444497</v>
      </c>
      <c r="B20" t="str">
        <f t="shared" si="0"/>
        <v>E</v>
      </c>
      <c r="C20" s="13" t="s">
        <v>22</v>
      </c>
      <c r="D20" s="9">
        <v>1</v>
      </c>
      <c r="E20" s="10" t="s">
        <v>2</v>
      </c>
      <c r="F20" s="9">
        <v>1</v>
      </c>
      <c r="G20" s="28" t="s">
        <v>13</v>
      </c>
      <c r="H20" s="29"/>
      <c r="I20" s="29"/>
      <c r="J20" t="str">
        <f t="shared" si="1"/>
        <v>E</v>
      </c>
    </row>
    <row r="21" spans="1:10" x14ac:dyDescent="0.25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25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25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25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25">
      <c r="A25" s="5">
        <v>0.375</v>
      </c>
      <c r="B25" t="str">
        <f t="shared" si="0"/>
        <v>D</v>
      </c>
      <c r="C25" s="8" t="s">
        <v>23</v>
      </c>
      <c r="D25" s="9">
        <v>0</v>
      </c>
      <c r="E25" s="10" t="s">
        <v>2</v>
      </c>
      <c r="F25" s="9">
        <v>2</v>
      </c>
      <c r="G25" s="28" t="s">
        <v>25</v>
      </c>
      <c r="H25" s="29"/>
      <c r="I25" s="29"/>
      <c r="J25" t="str">
        <f t="shared" si="1"/>
        <v>V</v>
      </c>
    </row>
    <row r="26" spans="1:10" x14ac:dyDescent="0.25">
      <c r="A26" s="5">
        <v>0.3923611111111111</v>
      </c>
      <c r="B26" t="str">
        <f t="shared" si="0"/>
        <v>V</v>
      </c>
      <c r="C26" s="8" t="s">
        <v>24</v>
      </c>
      <c r="D26" s="9">
        <v>2</v>
      </c>
      <c r="E26" s="10" t="s">
        <v>2</v>
      </c>
      <c r="F26" s="9">
        <v>0</v>
      </c>
      <c r="G26" s="28" t="s">
        <v>13</v>
      </c>
      <c r="H26" s="29"/>
      <c r="I26" s="29"/>
      <c r="J26" t="str">
        <f t="shared" si="1"/>
        <v>D</v>
      </c>
    </row>
    <row r="27" spans="1:10" x14ac:dyDescent="0.25">
      <c r="A27" s="5">
        <v>0.40972222222222221</v>
      </c>
      <c r="B27" t="str">
        <f t="shared" si="0"/>
        <v>E</v>
      </c>
      <c r="C27" s="12" t="s">
        <v>19</v>
      </c>
      <c r="D27" s="9">
        <v>1</v>
      </c>
      <c r="E27" s="10" t="s">
        <v>2</v>
      </c>
      <c r="F27" s="9">
        <v>1</v>
      </c>
      <c r="G27" s="32" t="s">
        <v>26</v>
      </c>
      <c r="H27" s="33"/>
      <c r="I27" s="33"/>
      <c r="J27" t="str">
        <f t="shared" si="1"/>
        <v>E</v>
      </c>
    </row>
    <row r="28" spans="1:10" x14ac:dyDescent="0.25">
      <c r="A28" s="5">
        <v>0.42708333333333331</v>
      </c>
      <c r="B28" t="str">
        <f t="shared" si="0"/>
        <v>E</v>
      </c>
      <c r="C28" s="12" t="s">
        <v>20</v>
      </c>
      <c r="D28" s="9">
        <v>0</v>
      </c>
      <c r="E28" s="10" t="s">
        <v>2</v>
      </c>
      <c r="F28" s="9">
        <v>0</v>
      </c>
      <c r="G28" s="32" t="s">
        <v>22</v>
      </c>
      <c r="H28" s="33"/>
      <c r="I28" s="33"/>
      <c r="J28" t="str">
        <f t="shared" si="1"/>
        <v>E</v>
      </c>
    </row>
    <row r="29" spans="1:10" x14ac:dyDescent="0.25">
      <c r="A29" s="5">
        <v>0.58333333333333337</v>
      </c>
      <c r="B29" t="str">
        <f t="shared" si="0"/>
        <v>V</v>
      </c>
      <c r="C29" s="13" t="s">
        <v>17</v>
      </c>
      <c r="D29" s="9">
        <v>3</v>
      </c>
      <c r="E29" s="10" t="s">
        <v>2</v>
      </c>
      <c r="F29" s="9">
        <v>0</v>
      </c>
      <c r="G29" s="36" t="s">
        <v>14</v>
      </c>
      <c r="H29" s="37"/>
      <c r="I29" s="37"/>
      <c r="J29" t="str">
        <f t="shared" si="1"/>
        <v>D</v>
      </c>
    </row>
    <row r="30" spans="1:10" x14ac:dyDescent="0.25">
      <c r="A30" s="5">
        <v>0.60069444444444453</v>
      </c>
      <c r="B30" t="str">
        <f t="shared" si="0"/>
        <v>V</v>
      </c>
      <c r="C30" s="13" t="s">
        <v>26</v>
      </c>
      <c r="D30" s="9">
        <v>1</v>
      </c>
      <c r="E30" s="10" t="s">
        <v>2</v>
      </c>
      <c r="F30" s="9">
        <v>0</v>
      </c>
      <c r="G30" s="36" t="s">
        <v>23</v>
      </c>
      <c r="H30" s="37"/>
      <c r="I30" s="37"/>
      <c r="J30" t="str">
        <f t="shared" si="1"/>
        <v>D</v>
      </c>
    </row>
    <row r="31" spans="1:10" x14ac:dyDescent="0.25">
      <c r="A31" s="5">
        <v>0.61805555555555569</v>
      </c>
      <c r="B31" t="str">
        <f t="shared" si="0"/>
        <v>V</v>
      </c>
      <c r="C31" s="13" t="s">
        <v>18</v>
      </c>
      <c r="D31" s="9">
        <v>2</v>
      </c>
      <c r="E31" s="10" t="s">
        <v>2</v>
      </c>
      <c r="F31" s="9">
        <v>0</v>
      </c>
      <c r="G31" s="36" t="s">
        <v>15</v>
      </c>
      <c r="H31" s="37"/>
      <c r="I31" s="37"/>
      <c r="J31" t="str">
        <f t="shared" si="1"/>
        <v>D</v>
      </c>
    </row>
    <row r="32" spans="1:10" x14ac:dyDescent="0.25">
      <c r="A32" s="5">
        <v>0.63541666666666685</v>
      </c>
      <c r="B32" t="str">
        <f t="shared" si="0"/>
        <v>V</v>
      </c>
      <c r="C32" s="13" t="s">
        <v>22</v>
      </c>
      <c r="D32" s="9">
        <v>1</v>
      </c>
      <c r="E32" s="10" t="s">
        <v>2</v>
      </c>
      <c r="F32" s="9">
        <v>0</v>
      </c>
      <c r="G32" s="36" t="s">
        <v>24</v>
      </c>
      <c r="H32" s="37"/>
      <c r="I32" s="37"/>
      <c r="J32" t="str">
        <f t="shared" si="1"/>
        <v>D</v>
      </c>
    </row>
    <row r="33" spans="1:10" x14ac:dyDescent="0.25">
      <c r="A33" s="5">
        <v>0.70486111111111149</v>
      </c>
      <c r="B33" t="str">
        <f t="shared" si="0"/>
        <v>D</v>
      </c>
      <c r="C33" s="8" t="s">
        <v>14</v>
      </c>
      <c r="D33" s="9">
        <v>0</v>
      </c>
      <c r="E33" s="10" t="s">
        <v>2</v>
      </c>
      <c r="F33" s="9">
        <v>5</v>
      </c>
      <c r="G33" s="30" t="s">
        <v>1</v>
      </c>
      <c r="H33" s="31"/>
      <c r="I33" s="31"/>
      <c r="J33" t="str">
        <f t="shared" si="1"/>
        <v>V</v>
      </c>
    </row>
    <row r="34" spans="1:10" x14ac:dyDescent="0.25">
      <c r="A34" s="5">
        <v>0.72222222222222265</v>
      </c>
      <c r="B34" t="str">
        <f t="shared" si="0"/>
        <v>D</v>
      </c>
      <c r="C34" s="8" t="s">
        <v>23</v>
      </c>
      <c r="D34" s="9">
        <v>0</v>
      </c>
      <c r="E34" s="10" t="s">
        <v>2</v>
      </c>
      <c r="F34" s="9">
        <v>4</v>
      </c>
      <c r="G34" s="30" t="s">
        <v>19</v>
      </c>
      <c r="H34" s="31"/>
      <c r="I34" s="31"/>
      <c r="J34" t="str">
        <f t="shared" si="1"/>
        <v>V</v>
      </c>
    </row>
    <row r="35" spans="1:10" x14ac:dyDescent="0.25">
      <c r="A35" s="5">
        <v>0.73958333333333381</v>
      </c>
      <c r="B35" t="str">
        <f t="shared" si="0"/>
        <v>D</v>
      </c>
      <c r="C35" s="8" t="s">
        <v>15</v>
      </c>
      <c r="D35" s="9">
        <v>2</v>
      </c>
      <c r="E35" s="10" t="s">
        <v>2</v>
      </c>
      <c r="F35" s="9">
        <v>4</v>
      </c>
      <c r="G35" s="30" t="s">
        <v>12</v>
      </c>
      <c r="H35" s="31"/>
      <c r="I35" s="31"/>
      <c r="J35" t="str">
        <f t="shared" si="1"/>
        <v>V</v>
      </c>
    </row>
    <row r="36" spans="1:10" x14ac:dyDescent="0.25">
      <c r="A36" s="5">
        <v>0.75694444444444497</v>
      </c>
      <c r="B36" t="str">
        <f t="shared" si="0"/>
        <v>V</v>
      </c>
      <c r="C36" s="8" t="s">
        <v>24</v>
      </c>
      <c r="D36" s="9">
        <v>6</v>
      </c>
      <c r="E36" s="10" t="s">
        <v>2</v>
      </c>
      <c r="F36" s="9">
        <v>1</v>
      </c>
      <c r="G36" s="30" t="s">
        <v>20</v>
      </c>
      <c r="H36" s="31"/>
      <c r="I36" s="31"/>
      <c r="J36" t="str">
        <f t="shared" si="1"/>
        <v>D</v>
      </c>
    </row>
    <row r="37" spans="1:10" x14ac:dyDescent="0.25">
      <c r="A37" s="5"/>
      <c r="B37" t="str">
        <f t="shared" ref="B37:B39" si="2">IF(D37="","-",IF(D37=F37,"E",IF(D37&gt;F37,"V","D")))</f>
        <v>-</v>
      </c>
      <c r="C37" s="1"/>
      <c r="D37" s="2"/>
      <c r="E37" s="3"/>
      <c r="F37" s="2"/>
      <c r="G37" s="34"/>
      <c r="H37" s="35"/>
      <c r="I37" s="35"/>
      <c r="J37" t="str">
        <f t="shared" ref="J37:J39" si="3">IF(F37="","-",IF(F37=D37,"E",IF(F37&gt;D37,"V","D")))</f>
        <v>-</v>
      </c>
    </row>
    <row r="38" spans="1:10" x14ac:dyDescent="0.25">
      <c r="A38" s="5"/>
      <c r="B38" t="str">
        <f t="shared" si="2"/>
        <v>-</v>
      </c>
      <c r="C38" s="1"/>
      <c r="D38" s="2"/>
      <c r="E38" s="3"/>
      <c r="F38" s="2"/>
      <c r="G38" s="34"/>
      <c r="H38" s="35"/>
      <c r="I38" s="35"/>
      <c r="J38" t="str">
        <f t="shared" si="3"/>
        <v>-</v>
      </c>
    </row>
    <row r="39" spans="1:10" x14ac:dyDescent="0.25">
      <c r="A39" s="5"/>
      <c r="B39" t="str">
        <f t="shared" si="2"/>
        <v>-</v>
      </c>
      <c r="C39" s="1"/>
      <c r="D39" s="2"/>
      <c r="E39" s="3"/>
      <c r="F39" s="2"/>
      <c r="G39" s="34"/>
      <c r="H39" s="35"/>
      <c r="I39" s="35"/>
      <c r="J39" t="str">
        <f t="shared" si="3"/>
        <v>-</v>
      </c>
    </row>
  </sheetData>
  <mergeCells count="28">
    <mergeCell ref="G39:I39"/>
    <mergeCell ref="G31:I31"/>
    <mergeCell ref="G32:I32"/>
    <mergeCell ref="G33:I33"/>
    <mergeCell ref="G34:I34"/>
    <mergeCell ref="G35:I35"/>
    <mergeCell ref="G25:I25"/>
    <mergeCell ref="G36:I36"/>
    <mergeCell ref="G37:I37"/>
    <mergeCell ref="G38:I38"/>
    <mergeCell ref="G30:I30"/>
    <mergeCell ref="G26:I26"/>
    <mergeCell ref="G27:I27"/>
    <mergeCell ref="G28:I28"/>
    <mergeCell ref="G29:I29"/>
    <mergeCell ref="C1:K1"/>
    <mergeCell ref="G20:I20"/>
    <mergeCell ref="G14:I14"/>
    <mergeCell ref="G15:I15"/>
    <mergeCell ref="G16:I16"/>
    <mergeCell ref="G17:I17"/>
    <mergeCell ref="G18:I18"/>
    <mergeCell ref="G19:I19"/>
    <mergeCell ref="G9:I9"/>
    <mergeCell ref="G10:I10"/>
    <mergeCell ref="G11:I11"/>
    <mergeCell ref="G12:I12"/>
    <mergeCell ref="G13:I1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:S40"/>
  <sheetViews>
    <sheetView topLeftCell="A2" workbookViewId="0">
      <selection activeCell="C3" sqref="C3:C6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  <col min="16" max="16" width="28.7109375" bestFit="1" customWidth="1"/>
    <col min="17" max="17" width="12.5703125" bestFit="1" customWidth="1"/>
  </cols>
  <sheetData>
    <row r="1" spans="1:19" s="4" customFormat="1" ht="18.75" x14ac:dyDescent="0.25">
      <c r="C1" s="26" t="s">
        <v>32</v>
      </c>
      <c r="D1" s="26"/>
      <c r="E1" s="26"/>
      <c r="F1" s="26"/>
      <c r="G1" s="26"/>
      <c r="H1" s="26"/>
      <c r="I1" s="26"/>
      <c r="J1" s="26"/>
      <c r="K1" s="27"/>
    </row>
    <row r="2" spans="1:19" s="4" customFormat="1" x14ac:dyDescent="0.25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8" t="s">
        <v>23</v>
      </c>
      <c r="Q2" s="4" t="s">
        <v>57</v>
      </c>
      <c r="S2" s="4" t="s">
        <v>58</v>
      </c>
    </row>
    <row r="3" spans="1:19" s="4" customFormat="1" x14ac:dyDescent="0.25">
      <c r="C3" s="4" t="s">
        <v>29</v>
      </c>
      <c r="D3" s="4">
        <v>5</v>
      </c>
      <c r="E3" s="4">
        <v>3</v>
      </c>
      <c r="F3" s="4">
        <v>1</v>
      </c>
      <c r="G3" s="4">
        <v>2</v>
      </c>
      <c r="H3" s="4">
        <v>0</v>
      </c>
      <c r="I3" s="4">
        <f>F14+F34+D27</f>
        <v>8</v>
      </c>
      <c r="J3" s="4">
        <f>SUM(D14+D34+F27)</f>
        <v>3</v>
      </c>
      <c r="K3" s="4">
        <f>Tabela25[[#This Row],[GM]]-Tabela25[[#This Row],[GS]]</f>
        <v>5</v>
      </c>
      <c r="P3" s="13" t="s">
        <v>26</v>
      </c>
      <c r="Q3" s="4" t="s">
        <v>62</v>
      </c>
      <c r="S3" s="4" t="s">
        <v>63</v>
      </c>
    </row>
    <row r="4" spans="1:19" s="4" customFormat="1" x14ac:dyDescent="0.25">
      <c r="C4" s="4" t="s">
        <v>25</v>
      </c>
      <c r="D4" s="4">
        <v>5</v>
      </c>
      <c r="E4" s="4">
        <v>3</v>
      </c>
      <c r="F4" s="4">
        <v>1</v>
      </c>
      <c r="G4" s="4">
        <v>2</v>
      </c>
      <c r="H4" s="4">
        <v>0</v>
      </c>
      <c r="I4" s="4">
        <f>$D$14+$F$25+$F$18</f>
        <v>6</v>
      </c>
      <c r="J4" s="4">
        <f>$D$25+$D$18+$F$14</f>
        <v>4</v>
      </c>
      <c r="K4" s="4">
        <f>Tabela25[[#This Row],[GM]]-Tabela25[[#This Row],[GS]]</f>
        <v>2</v>
      </c>
      <c r="P4" s="12" t="s">
        <v>19</v>
      </c>
      <c r="Q4" s="4" t="s">
        <v>55</v>
      </c>
      <c r="S4" s="4" t="s">
        <v>56</v>
      </c>
    </row>
    <row r="5" spans="1:19" s="4" customFormat="1" x14ac:dyDescent="0.25">
      <c r="C5" s="4" t="s">
        <v>26</v>
      </c>
      <c r="D5" s="4">
        <v>5</v>
      </c>
      <c r="E5" s="4">
        <v>3</v>
      </c>
      <c r="F5" s="4">
        <v>1</v>
      </c>
      <c r="G5" s="4">
        <v>2</v>
      </c>
      <c r="H5" s="4">
        <v>0</v>
      </c>
      <c r="I5" s="4">
        <f>SUM(F27+D30+D18)</f>
        <v>4</v>
      </c>
      <c r="J5" s="4">
        <f>SUM(F18+F30+D27)</f>
        <v>3</v>
      </c>
      <c r="K5" s="4">
        <v>1</v>
      </c>
      <c r="P5" s="11" t="s">
        <v>25</v>
      </c>
      <c r="Q5" s="4" t="s">
        <v>64</v>
      </c>
      <c r="S5" s="4" t="s">
        <v>65</v>
      </c>
    </row>
    <row r="6" spans="1:19" s="4" customFormat="1" x14ac:dyDescent="0.25">
      <c r="C6" s="4" t="s">
        <v>23</v>
      </c>
      <c r="D6" s="4">
        <f>F6*3+G6</f>
        <v>0</v>
      </c>
      <c r="E6" s="4">
        <f>SUM(F6:H6)</f>
        <v>3</v>
      </c>
      <c r="F6" s="4">
        <f>COUNTIF($B$26,"V")+COUNTIF($B$35,"V")+COUNTIF($J$30,"V")</f>
        <v>0</v>
      </c>
      <c r="G6" s="4">
        <f>COUNTIF($B$26,"E")+COUNTIF($J$30,"E")+COUNTIF($B$35,"E")</f>
        <v>0</v>
      </c>
      <c r="H6" s="4">
        <f>COUNTIF($B$26,"D")+COUNTIF($J$30,"D")+COUNTIF($B$35,"D")</f>
        <v>3</v>
      </c>
      <c r="I6" s="4">
        <f>D25+F30+D34</f>
        <v>0</v>
      </c>
      <c r="J6" s="4">
        <f>F25+D30+F34</f>
        <v>8</v>
      </c>
      <c r="K6" s="4">
        <f>I6-J6</f>
        <v>-8</v>
      </c>
    </row>
    <row r="7" spans="1:19" s="4" customFormat="1" x14ac:dyDescent="0.25">
      <c r="K7" s="4">
        <f>SUBTOTAL(109,Tabela25[DIFG])</f>
        <v>0</v>
      </c>
    </row>
    <row r="9" spans="1:19" x14ac:dyDescent="0.25">
      <c r="C9" s="8" t="s">
        <v>14</v>
      </c>
      <c r="D9" s="9">
        <v>0</v>
      </c>
      <c r="E9" s="10" t="s">
        <v>2</v>
      </c>
      <c r="F9" s="9">
        <v>5</v>
      </c>
      <c r="G9" s="28" t="s">
        <v>0</v>
      </c>
      <c r="H9" s="29"/>
      <c r="I9" s="29"/>
      <c r="J9" t="str">
        <f>IF(F9="","-",IF(F9=D9,"E",IF(F9&gt;D9,"V","D")))</f>
        <v>V</v>
      </c>
    </row>
    <row r="10" spans="1:19" x14ac:dyDescent="0.25">
      <c r="A10" s="5">
        <v>0.375</v>
      </c>
      <c r="B10" t="str">
        <f>IF(D9="","-",IF(D9=F9,"E",IF(D9&gt;F9,"V","D")))</f>
        <v>D</v>
      </c>
      <c r="C10" s="8" t="s">
        <v>15</v>
      </c>
      <c r="D10" s="9">
        <v>2</v>
      </c>
      <c r="E10" s="10" t="s">
        <v>2</v>
      </c>
      <c r="F10" s="9">
        <v>6</v>
      </c>
      <c r="G10" s="28" t="s">
        <v>16</v>
      </c>
      <c r="H10" s="29"/>
      <c r="I10" s="29"/>
      <c r="J10" t="str">
        <f t="shared" ref="J10:J36" si="0">IF(F10="","-",IF(F10=D10,"E",IF(F10&gt;D10,"V","D")))</f>
        <v>V</v>
      </c>
      <c r="M10" s="25"/>
    </row>
    <row r="11" spans="1:19" x14ac:dyDescent="0.25">
      <c r="A11" s="5">
        <v>0.3923611111111111</v>
      </c>
      <c r="B11" t="str">
        <f t="shared" ref="B11:B37" si="1">IF(D10="","-",IF(D10=F10,"E",IF(D10&gt;F10,"V","D")))</f>
        <v>D</v>
      </c>
      <c r="C11" s="12" t="s">
        <v>1</v>
      </c>
      <c r="D11" s="9">
        <v>1</v>
      </c>
      <c r="E11" s="10" t="s">
        <v>2</v>
      </c>
      <c r="F11" s="9">
        <v>2</v>
      </c>
      <c r="G11" s="32" t="s">
        <v>17</v>
      </c>
      <c r="H11" s="33"/>
      <c r="I11" s="33"/>
      <c r="J11" t="str">
        <f t="shared" si="0"/>
        <v>V</v>
      </c>
    </row>
    <row r="12" spans="1:19" x14ac:dyDescent="0.25">
      <c r="A12" s="5">
        <v>0.40972222222222221</v>
      </c>
      <c r="B12" t="str">
        <f t="shared" si="1"/>
        <v>D</v>
      </c>
      <c r="C12" s="12" t="s">
        <v>12</v>
      </c>
      <c r="D12" s="9">
        <v>1</v>
      </c>
      <c r="E12" s="10" t="s">
        <v>2</v>
      </c>
      <c r="F12" s="9">
        <v>0</v>
      </c>
      <c r="G12" s="32" t="s">
        <v>18</v>
      </c>
      <c r="H12" s="33"/>
      <c r="I12" s="33"/>
      <c r="J12" t="str">
        <f t="shared" si="0"/>
        <v>D</v>
      </c>
    </row>
    <row r="13" spans="1:19" x14ac:dyDescent="0.25">
      <c r="A13" s="5">
        <v>0.42708333333333331</v>
      </c>
      <c r="B13" t="str">
        <f t="shared" si="1"/>
        <v>V</v>
      </c>
      <c r="C13" s="11" t="s">
        <v>0</v>
      </c>
      <c r="D13" s="9">
        <v>0</v>
      </c>
      <c r="E13" s="10" t="s">
        <v>2</v>
      </c>
      <c r="F13" s="9">
        <v>6</v>
      </c>
      <c r="G13" s="30" t="s">
        <v>1</v>
      </c>
      <c r="H13" s="31"/>
      <c r="I13" s="31"/>
      <c r="J13" t="str">
        <f t="shared" si="0"/>
        <v>V</v>
      </c>
    </row>
    <row r="14" spans="1:19" x14ac:dyDescent="0.25">
      <c r="A14" s="5">
        <v>0.58333333333333337</v>
      </c>
      <c r="B14" t="str">
        <f t="shared" si="1"/>
        <v>D</v>
      </c>
      <c r="C14" s="11" t="s">
        <v>25</v>
      </c>
      <c r="D14" s="9">
        <v>2</v>
      </c>
      <c r="E14" s="10" t="s">
        <v>2</v>
      </c>
      <c r="F14" s="9">
        <v>2</v>
      </c>
      <c r="G14" s="30" t="s">
        <v>19</v>
      </c>
      <c r="H14" s="31"/>
      <c r="I14" s="31"/>
      <c r="J14" t="str">
        <f t="shared" si="0"/>
        <v>E</v>
      </c>
    </row>
    <row r="15" spans="1:19" x14ac:dyDescent="0.25">
      <c r="A15" s="5">
        <v>0.60069444444444453</v>
      </c>
      <c r="B15" t="str">
        <f t="shared" si="1"/>
        <v>E</v>
      </c>
      <c r="C15" s="11" t="s">
        <v>16</v>
      </c>
      <c r="D15" s="9">
        <v>3</v>
      </c>
      <c r="E15" s="10" t="s">
        <v>2</v>
      </c>
      <c r="F15" s="9">
        <v>1</v>
      </c>
      <c r="G15" s="30" t="s">
        <v>12</v>
      </c>
      <c r="H15" s="31"/>
      <c r="I15" s="31"/>
      <c r="J15" t="str">
        <f t="shared" si="0"/>
        <v>D</v>
      </c>
    </row>
    <row r="16" spans="1:19" x14ac:dyDescent="0.25">
      <c r="A16" s="5">
        <v>0.61805555555555569</v>
      </c>
      <c r="B16" t="str">
        <f t="shared" si="1"/>
        <v>V</v>
      </c>
      <c r="C16" s="11" t="s">
        <v>13</v>
      </c>
      <c r="D16" s="9">
        <v>3</v>
      </c>
      <c r="E16" s="10" t="s">
        <v>2</v>
      </c>
      <c r="F16" s="9">
        <v>1</v>
      </c>
      <c r="G16" s="30" t="s">
        <v>20</v>
      </c>
      <c r="H16" s="31"/>
      <c r="I16" s="31"/>
      <c r="J16" t="str">
        <f t="shared" si="0"/>
        <v>D</v>
      </c>
    </row>
    <row r="17" spans="1:10" x14ac:dyDescent="0.25">
      <c r="A17" s="5">
        <v>0.63541666666666685</v>
      </c>
      <c r="B17" t="str">
        <f t="shared" si="1"/>
        <v>V</v>
      </c>
      <c r="C17" s="13" t="s">
        <v>17</v>
      </c>
      <c r="D17" s="9">
        <v>6</v>
      </c>
      <c r="E17" s="10" t="s">
        <v>2</v>
      </c>
      <c r="F17" s="9">
        <v>0</v>
      </c>
      <c r="G17" s="28" t="s">
        <v>21</v>
      </c>
      <c r="H17" s="29"/>
      <c r="I17" s="29"/>
      <c r="J17" t="str">
        <f t="shared" si="0"/>
        <v>D</v>
      </c>
    </row>
    <row r="18" spans="1:10" x14ac:dyDescent="0.25">
      <c r="A18" s="5">
        <v>0.70486111111111149</v>
      </c>
      <c r="B18" t="str">
        <f t="shared" si="1"/>
        <v>V</v>
      </c>
      <c r="C18" s="13" t="s">
        <v>26</v>
      </c>
      <c r="D18" s="9">
        <v>2</v>
      </c>
      <c r="E18" s="10" t="s">
        <v>2</v>
      </c>
      <c r="F18" s="9">
        <v>2</v>
      </c>
      <c r="G18" s="28" t="s">
        <v>25</v>
      </c>
      <c r="H18" s="29"/>
      <c r="I18" s="29"/>
      <c r="J18" t="str">
        <f t="shared" si="0"/>
        <v>E</v>
      </c>
    </row>
    <row r="19" spans="1:10" x14ac:dyDescent="0.25">
      <c r="A19" s="5">
        <v>0.72222222222222265</v>
      </c>
      <c r="B19" t="str">
        <f t="shared" si="1"/>
        <v>E</v>
      </c>
      <c r="C19" s="13" t="s">
        <v>18</v>
      </c>
      <c r="D19" s="9">
        <v>4</v>
      </c>
      <c r="E19" s="10" t="s">
        <v>2</v>
      </c>
      <c r="F19" s="9">
        <v>5</v>
      </c>
      <c r="G19" s="28" t="s">
        <v>16</v>
      </c>
      <c r="H19" s="29"/>
      <c r="I19" s="29"/>
      <c r="J19" t="str">
        <f t="shared" si="0"/>
        <v>V</v>
      </c>
    </row>
    <row r="20" spans="1:10" x14ac:dyDescent="0.25">
      <c r="A20" s="5">
        <v>0.73958333333333381</v>
      </c>
      <c r="B20" t="str">
        <f t="shared" si="1"/>
        <v>D</v>
      </c>
      <c r="C20" s="13" t="s">
        <v>22</v>
      </c>
      <c r="D20" s="9">
        <v>1</v>
      </c>
      <c r="E20" s="10" t="s">
        <v>2</v>
      </c>
      <c r="F20" s="9">
        <v>1</v>
      </c>
      <c r="G20" s="28" t="s">
        <v>13</v>
      </c>
      <c r="H20" s="29"/>
      <c r="I20" s="29"/>
      <c r="J20" t="str">
        <f t="shared" si="0"/>
        <v>E</v>
      </c>
    </row>
    <row r="21" spans="1:10" x14ac:dyDescent="0.25">
      <c r="A21" s="5">
        <v>0.75694444444444497</v>
      </c>
      <c r="B21" t="str">
        <f t="shared" si="1"/>
        <v>E</v>
      </c>
      <c r="C21" s="1"/>
      <c r="D21" s="2"/>
      <c r="E21" s="3"/>
      <c r="F21" s="2"/>
      <c r="G21" s="6"/>
      <c r="H21" s="7"/>
      <c r="I21" s="7"/>
      <c r="J21" t="str">
        <f t="shared" si="0"/>
        <v>-</v>
      </c>
    </row>
    <row r="22" spans="1:10" x14ac:dyDescent="0.25">
      <c r="A22" s="5"/>
      <c r="B22" t="str">
        <f t="shared" si="1"/>
        <v>-</v>
      </c>
      <c r="C22" s="1"/>
      <c r="D22" s="2"/>
      <c r="E22" s="3"/>
      <c r="F22" s="2"/>
      <c r="G22" s="6"/>
      <c r="H22" s="7"/>
      <c r="I22" s="7"/>
      <c r="J22" t="str">
        <f t="shared" si="0"/>
        <v>-</v>
      </c>
    </row>
    <row r="23" spans="1:10" x14ac:dyDescent="0.25">
      <c r="A23" s="5"/>
      <c r="B23" t="str">
        <f t="shared" si="1"/>
        <v>-</v>
      </c>
      <c r="C23" s="1"/>
      <c r="D23" s="2"/>
      <c r="E23" s="3"/>
      <c r="F23" s="2"/>
      <c r="G23" s="6"/>
      <c r="H23" s="7"/>
      <c r="I23" s="7"/>
      <c r="J23" t="str">
        <f t="shared" si="0"/>
        <v>-</v>
      </c>
    </row>
    <row r="24" spans="1:10" x14ac:dyDescent="0.25">
      <c r="A24" s="5"/>
      <c r="B24" t="str">
        <f t="shared" si="1"/>
        <v>-</v>
      </c>
      <c r="C24" s="1"/>
      <c r="D24" s="2"/>
      <c r="E24" s="3"/>
      <c r="F24" s="2"/>
      <c r="G24" s="6"/>
      <c r="H24" s="7"/>
      <c r="I24" s="7"/>
      <c r="J24" t="str">
        <f t="shared" si="0"/>
        <v>-</v>
      </c>
    </row>
    <row r="25" spans="1:10" x14ac:dyDescent="0.25">
      <c r="B25" t="str">
        <f t="shared" si="1"/>
        <v>-</v>
      </c>
      <c r="C25" s="8" t="s">
        <v>23</v>
      </c>
      <c r="D25" s="9">
        <v>0</v>
      </c>
      <c r="E25" s="10" t="s">
        <v>2</v>
      </c>
      <c r="F25" s="9">
        <v>2</v>
      </c>
      <c r="G25" s="28" t="s">
        <v>25</v>
      </c>
      <c r="H25" s="29"/>
      <c r="I25" s="29"/>
      <c r="J25" t="str">
        <f t="shared" si="0"/>
        <v>V</v>
      </c>
    </row>
    <row r="26" spans="1:10" x14ac:dyDescent="0.25">
      <c r="A26" s="5">
        <v>0.375</v>
      </c>
      <c r="B26" t="str">
        <f t="shared" si="1"/>
        <v>D</v>
      </c>
      <c r="C26" s="8" t="s">
        <v>24</v>
      </c>
      <c r="D26" s="9">
        <v>2</v>
      </c>
      <c r="E26" s="10" t="s">
        <v>2</v>
      </c>
      <c r="F26" s="9">
        <v>0</v>
      </c>
      <c r="G26" s="28" t="s">
        <v>13</v>
      </c>
      <c r="H26" s="29"/>
      <c r="I26" s="29"/>
      <c r="J26" t="str">
        <f t="shared" si="0"/>
        <v>D</v>
      </c>
    </row>
    <row r="27" spans="1:10" x14ac:dyDescent="0.25">
      <c r="A27" s="5">
        <v>0.3923611111111111</v>
      </c>
      <c r="B27" t="str">
        <f t="shared" si="1"/>
        <v>V</v>
      </c>
      <c r="C27" s="12" t="s">
        <v>19</v>
      </c>
      <c r="D27" s="9">
        <v>1</v>
      </c>
      <c r="E27" s="10" t="s">
        <v>2</v>
      </c>
      <c r="F27" s="9">
        <v>1</v>
      </c>
      <c r="G27" s="32" t="s">
        <v>26</v>
      </c>
      <c r="H27" s="33"/>
      <c r="I27" s="33"/>
      <c r="J27" t="str">
        <f t="shared" si="0"/>
        <v>E</v>
      </c>
    </row>
    <row r="28" spans="1:10" x14ac:dyDescent="0.25">
      <c r="A28" s="5">
        <v>0.40972222222222221</v>
      </c>
      <c r="B28" t="str">
        <f t="shared" si="1"/>
        <v>E</v>
      </c>
      <c r="C28" s="12" t="s">
        <v>20</v>
      </c>
      <c r="D28" s="9">
        <v>0</v>
      </c>
      <c r="E28" s="10" t="s">
        <v>2</v>
      </c>
      <c r="F28" s="9">
        <v>0</v>
      </c>
      <c r="G28" s="32" t="s">
        <v>22</v>
      </c>
      <c r="H28" s="33"/>
      <c r="I28" s="33"/>
      <c r="J28" t="str">
        <f t="shared" si="0"/>
        <v>E</v>
      </c>
    </row>
    <row r="29" spans="1:10" x14ac:dyDescent="0.25">
      <c r="A29" s="5">
        <v>0.42708333333333331</v>
      </c>
      <c r="B29" t="str">
        <f t="shared" si="1"/>
        <v>E</v>
      </c>
      <c r="C29" s="13" t="s">
        <v>17</v>
      </c>
      <c r="D29" s="9">
        <v>3</v>
      </c>
      <c r="E29" s="10" t="s">
        <v>2</v>
      </c>
      <c r="F29" s="9">
        <v>0</v>
      </c>
      <c r="G29" s="36" t="s">
        <v>14</v>
      </c>
      <c r="H29" s="37"/>
      <c r="I29" s="37"/>
      <c r="J29" t="str">
        <f t="shared" si="0"/>
        <v>D</v>
      </c>
    </row>
    <row r="30" spans="1:10" x14ac:dyDescent="0.25">
      <c r="A30" s="5">
        <v>0.58333333333333337</v>
      </c>
      <c r="B30" t="str">
        <f t="shared" si="1"/>
        <v>V</v>
      </c>
      <c r="C30" s="13" t="s">
        <v>26</v>
      </c>
      <c r="D30" s="9">
        <v>1</v>
      </c>
      <c r="E30" s="10" t="s">
        <v>2</v>
      </c>
      <c r="F30" s="9">
        <v>0</v>
      </c>
      <c r="G30" s="36" t="s">
        <v>23</v>
      </c>
      <c r="H30" s="37"/>
      <c r="I30" s="37"/>
      <c r="J30" t="str">
        <f t="shared" si="0"/>
        <v>D</v>
      </c>
    </row>
    <row r="31" spans="1:10" x14ac:dyDescent="0.25">
      <c r="A31" s="5">
        <v>0.60069444444444453</v>
      </c>
      <c r="B31" t="str">
        <f t="shared" si="1"/>
        <v>V</v>
      </c>
      <c r="C31" s="13" t="s">
        <v>18</v>
      </c>
      <c r="D31" s="9">
        <v>2</v>
      </c>
      <c r="E31" s="10" t="s">
        <v>2</v>
      </c>
      <c r="F31" s="9">
        <v>0</v>
      </c>
      <c r="G31" s="36" t="s">
        <v>15</v>
      </c>
      <c r="H31" s="37"/>
      <c r="I31" s="37"/>
      <c r="J31" t="str">
        <f t="shared" si="0"/>
        <v>D</v>
      </c>
    </row>
    <row r="32" spans="1:10" x14ac:dyDescent="0.25">
      <c r="A32" s="5">
        <v>0.61805555555555569</v>
      </c>
      <c r="B32" t="str">
        <f t="shared" si="1"/>
        <v>V</v>
      </c>
      <c r="C32" s="13" t="s">
        <v>22</v>
      </c>
      <c r="D32" s="9">
        <v>1</v>
      </c>
      <c r="E32" s="10" t="s">
        <v>2</v>
      </c>
      <c r="F32" s="9">
        <v>0</v>
      </c>
      <c r="G32" s="36" t="s">
        <v>24</v>
      </c>
      <c r="H32" s="37"/>
      <c r="I32" s="37"/>
      <c r="J32" t="str">
        <f t="shared" si="0"/>
        <v>D</v>
      </c>
    </row>
    <row r="33" spans="1:10" x14ac:dyDescent="0.25">
      <c r="A33" s="5">
        <v>0.63541666666666685</v>
      </c>
      <c r="B33" t="str">
        <f t="shared" si="1"/>
        <v>V</v>
      </c>
      <c r="C33" s="8" t="s">
        <v>14</v>
      </c>
      <c r="D33" s="9">
        <v>0</v>
      </c>
      <c r="E33" s="10" t="s">
        <v>2</v>
      </c>
      <c r="F33" s="9">
        <v>5</v>
      </c>
      <c r="G33" s="30" t="s">
        <v>1</v>
      </c>
      <c r="H33" s="31"/>
      <c r="I33" s="31"/>
      <c r="J33" t="str">
        <f t="shared" si="0"/>
        <v>V</v>
      </c>
    </row>
    <row r="34" spans="1:10" x14ac:dyDescent="0.25">
      <c r="A34" s="5">
        <v>0.70486111111111149</v>
      </c>
      <c r="B34" t="str">
        <f t="shared" si="1"/>
        <v>D</v>
      </c>
      <c r="C34" s="8" t="s">
        <v>23</v>
      </c>
      <c r="D34" s="9">
        <v>0</v>
      </c>
      <c r="E34" s="10" t="s">
        <v>2</v>
      </c>
      <c r="F34" s="9">
        <v>5</v>
      </c>
      <c r="G34" s="30" t="s">
        <v>19</v>
      </c>
      <c r="H34" s="31"/>
      <c r="I34" s="31"/>
      <c r="J34" t="str">
        <f t="shared" si="0"/>
        <v>V</v>
      </c>
    </row>
    <row r="35" spans="1:10" x14ac:dyDescent="0.25">
      <c r="A35" s="5">
        <v>0.72222222222222265</v>
      </c>
      <c r="B35" t="str">
        <f t="shared" si="1"/>
        <v>D</v>
      </c>
      <c r="C35" s="8" t="s">
        <v>15</v>
      </c>
      <c r="D35" s="9">
        <v>2</v>
      </c>
      <c r="E35" s="10" t="s">
        <v>2</v>
      </c>
      <c r="F35" s="9">
        <v>4</v>
      </c>
      <c r="G35" s="30" t="s">
        <v>12</v>
      </c>
      <c r="H35" s="31"/>
      <c r="I35" s="31"/>
      <c r="J35" t="str">
        <f t="shared" si="0"/>
        <v>V</v>
      </c>
    </row>
    <row r="36" spans="1:10" x14ac:dyDescent="0.25">
      <c r="A36" s="5">
        <v>0.73958333333333381</v>
      </c>
      <c r="B36" t="str">
        <f t="shared" si="1"/>
        <v>D</v>
      </c>
      <c r="C36" s="8" t="s">
        <v>24</v>
      </c>
      <c r="D36" s="9">
        <v>6</v>
      </c>
      <c r="E36" s="10" t="s">
        <v>2</v>
      </c>
      <c r="F36" s="9">
        <v>1</v>
      </c>
      <c r="G36" s="30" t="s">
        <v>20</v>
      </c>
      <c r="H36" s="31"/>
      <c r="I36" s="31"/>
      <c r="J36" t="str">
        <f t="shared" si="0"/>
        <v>D</v>
      </c>
    </row>
    <row r="37" spans="1:10" x14ac:dyDescent="0.25">
      <c r="A37" s="5">
        <v>0.75694444444444497</v>
      </c>
      <c r="B37" t="str">
        <f t="shared" si="1"/>
        <v>V</v>
      </c>
      <c r="C37" s="1"/>
      <c r="D37" s="2"/>
      <c r="E37" s="3"/>
      <c r="F37" s="2"/>
      <c r="G37" s="34"/>
      <c r="H37" s="35"/>
      <c r="I37" s="35"/>
    </row>
    <row r="38" spans="1:10" x14ac:dyDescent="0.25">
      <c r="A38" s="5"/>
      <c r="C38" s="1"/>
      <c r="D38" s="2"/>
      <c r="E38" s="3"/>
      <c r="F38" s="2"/>
      <c r="G38" s="34"/>
      <c r="H38" s="35"/>
      <c r="I38" s="35"/>
    </row>
    <row r="39" spans="1:10" x14ac:dyDescent="0.25">
      <c r="A39" s="5"/>
      <c r="C39" s="1"/>
      <c r="D39" s="2"/>
      <c r="E39" s="3"/>
      <c r="F39" s="2"/>
      <c r="G39" s="34"/>
      <c r="H39" s="35"/>
      <c r="I39" s="35"/>
    </row>
    <row r="40" spans="1:10" x14ac:dyDescent="0.25">
      <c r="A40" s="5"/>
    </row>
  </sheetData>
  <mergeCells count="28">
    <mergeCell ref="G19:I19"/>
    <mergeCell ref="C1:K1"/>
    <mergeCell ref="G9:I9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  <mergeCell ref="G31:I31"/>
    <mergeCell ref="G20:I20"/>
    <mergeCell ref="G25:I25"/>
    <mergeCell ref="G26:I26"/>
    <mergeCell ref="G27:I27"/>
    <mergeCell ref="G28:I28"/>
    <mergeCell ref="G29:I29"/>
    <mergeCell ref="G30:I30"/>
    <mergeCell ref="G38:I38"/>
    <mergeCell ref="G39:I39"/>
    <mergeCell ref="G32:I32"/>
    <mergeCell ref="G33:I33"/>
    <mergeCell ref="G34:I34"/>
    <mergeCell ref="G35:I35"/>
    <mergeCell ref="G36:I36"/>
    <mergeCell ref="G37:I37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T39"/>
  <sheetViews>
    <sheetView workbookViewId="0">
      <selection activeCell="C3" sqref="C3:C6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  <col min="16" max="16" width="31" bestFit="1" customWidth="1"/>
    <col min="17" max="17" width="9.42578125" customWidth="1"/>
    <col min="18" max="18" width="18.85546875" bestFit="1" customWidth="1"/>
    <col min="19" max="19" width="19.7109375" bestFit="1" customWidth="1"/>
  </cols>
  <sheetData>
    <row r="1" spans="1:20" s="4" customFormat="1" ht="18.75" x14ac:dyDescent="0.25">
      <c r="C1" s="26" t="s">
        <v>33</v>
      </c>
      <c r="D1" s="26"/>
      <c r="E1" s="26"/>
      <c r="F1" s="26"/>
      <c r="G1" s="26"/>
      <c r="H1" s="26"/>
      <c r="I1" s="26"/>
      <c r="J1" s="26"/>
      <c r="K1" s="27"/>
    </row>
    <row r="2" spans="1:20" s="4" customFormat="1" x14ac:dyDescent="0.25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14" t="s">
        <v>15</v>
      </c>
      <c r="R2" s="4" t="s">
        <v>69</v>
      </c>
      <c r="T2" s="4" t="s">
        <v>70</v>
      </c>
    </row>
    <row r="3" spans="1:20" s="4" customFormat="1" x14ac:dyDescent="0.25">
      <c r="C3" s="4" t="s">
        <v>16</v>
      </c>
      <c r="D3" s="4">
        <f>F3*3+G3</f>
        <v>9</v>
      </c>
      <c r="E3" s="4">
        <f>SUM(F3:H3)</f>
        <v>3</v>
      </c>
      <c r="F3" s="4">
        <f>COUNTIF($B$15,"V")+COUNTIF($J$10,"V")+COUNTIF($J$19,"V")</f>
        <v>3</v>
      </c>
      <c r="G3" s="4">
        <f>COUNTIF($B$15,"E")+COUNTIF($J$19,"E")+COUNTIF($J$10,"E")</f>
        <v>0</v>
      </c>
      <c r="H3" s="4">
        <f>COUNTIF($B$15,"D")+COUNTIF($J$19,"D")+COUNTIF($J$10,"D")</f>
        <v>0</v>
      </c>
      <c r="I3" s="4">
        <f>F19+D15+F10</f>
        <v>14</v>
      </c>
      <c r="J3" s="4">
        <f>SUM(D10+F15+D19)</f>
        <v>7</v>
      </c>
      <c r="K3" s="4">
        <f>I3-J3</f>
        <v>7</v>
      </c>
      <c r="P3" s="11" t="s">
        <v>16</v>
      </c>
      <c r="Q3" s="4" t="s">
        <v>66</v>
      </c>
      <c r="S3" s="4" t="s">
        <v>66</v>
      </c>
    </row>
    <row r="4" spans="1:20" s="4" customFormat="1" x14ac:dyDescent="0.25">
      <c r="C4" s="4" t="s">
        <v>28</v>
      </c>
      <c r="D4" s="4">
        <f>F4*3+G4</f>
        <v>6</v>
      </c>
      <c r="E4" s="4">
        <f>SUM(F4:H4)</f>
        <v>3</v>
      </c>
      <c r="F4" s="4">
        <f>COUNTIF($J$35,"V")+COUNTIF($B$12,"V")+COUNTIF($J$15,"V")</f>
        <v>2</v>
      </c>
      <c r="G4" s="4">
        <f>COUNTIF($J$35,"E")+COUNTIF($B$12,"E")+COUNTIF($J$15,"E")</f>
        <v>0</v>
      </c>
      <c r="H4" s="4">
        <f>COUNTIF($B$12,"D")+COUNTIF($J$35,"D")+COUNTIF($J$15,"D")</f>
        <v>1</v>
      </c>
      <c r="I4" s="4">
        <f>$D$12+$F$15+$F$35</f>
        <v>6</v>
      </c>
      <c r="J4" s="4">
        <f>SUM(F12+D15+D35)</f>
        <v>5</v>
      </c>
      <c r="K4" s="4">
        <f>I4-J4</f>
        <v>1</v>
      </c>
      <c r="P4" s="12" t="s">
        <v>12</v>
      </c>
      <c r="Q4" s="4" t="s">
        <v>67</v>
      </c>
      <c r="S4" s="4" t="s">
        <v>68</v>
      </c>
    </row>
    <row r="5" spans="1:20" s="4" customFormat="1" x14ac:dyDescent="0.25">
      <c r="C5" s="4" t="s">
        <v>18</v>
      </c>
      <c r="D5" s="4">
        <f>F5*3+G5</f>
        <v>3</v>
      </c>
      <c r="E5" s="4">
        <f>SUM(F5:H5)</f>
        <v>3</v>
      </c>
      <c r="F5" s="4">
        <f>COUNTIF($B$19,"V")+COUNTIF($B$31,"V")+COUNTIF($J$12,"V")</f>
        <v>1</v>
      </c>
      <c r="G5" s="4">
        <f>COUNTIF($B$31,"E")+COUNTIF($B$19,"E")+COUNTIF($J$12,"E")</f>
        <v>0</v>
      </c>
      <c r="H5" s="4">
        <f>COUNTIF($B$19,"D")+COUNTIF($J$12,"D")+COUNTIF($B$31,"D")</f>
        <v>2</v>
      </c>
      <c r="I5" s="4">
        <f>$D$19+$F$12+$D$31</f>
        <v>6</v>
      </c>
      <c r="J5" s="4">
        <f>SUM(D12+F19+F31)</f>
        <v>6</v>
      </c>
      <c r="K5" s="4">
        <f>I5-J5</f>
        <v>0</v>
      </c>
      <c r="P5" s="13" t="s">
        <v>18</v>
      </c>
      <c r="Q5" s="4" t="s">
        <v>71</v>
      </c>
      <c r="S5" s="4" t="s">
        <v>72</v>
      </c>
    </row>
    <row r="6" spans="1:20" s="4" customFormat="1" x14ac:dyDescent="0.25">
      <c r="C6" s="4" t="s">
        <v>15</v>
      </c>
      <c r="D6" s="4">
        <f>F6*3+G6</f>
        <v>0</v>
      </c>
      <c r="E6" s="4">
        <f>SUM(F6:H6)</f>
        <v>3</v>
      </c>
      <c r="F6" s="4">
        <f>COUNTIF($B$10,"V")+COUNTIF($B$35,"V")+COUNTIF($J$31,"V")</f>
        <v>0</v>
      </c>
      <c r="G6" s="4">
        <f>COUNTIF($B$10,"E")+COUNTIF($J$31,"E")+COUNTIF($B$35,"E")</f>
        <v>0</v>
      </c>
      <c r="H6" s="4">
        <f>COUNTIF($B$10,"D")+COUNTIF($J$31,"D")+COUNTIF($B$35,"D")</f>
        <v>3</v>
      </c>
      <c r="I6" s="4">
        <f>$D$10+$D$35+$F$31</f>
        <v>4</v>
      </c>
      <c r="J6" s="4">
        <f>SUM(F10+D31+F35)</f>
        <v>12</v>
      </c>
      <c r="K6" s="4">
        <f>I6-J6</f>
        <v>-8</v>
      </c>
    </row>
    <row r="7" spans="1:20" x14ac:dyDescent="0.25">
      <c r="K7">
        <f>SUBTOTAL(109,Tabela256[DIFG])</f>
        <v>0</v>
      </c>
    </row>
    <row r="9" spans="1:20" x14ac:dyDescent="0.25">
      <c r="A9" s="5">
        <v>0.375</v>
      </c>
      <c r="B9" t="str">
        <f>IF(D9="","-",IF(D9=F9,"E",IF(D9&gt;F9,"V","D")))</f>
        <v>D</v>
      </c>
      <c r="C9" s="8" t="s">
        <v>14</v>
      </c>
      <c r="D9" s="9">
        <v>0</v>
      </c>
      <c r="E9" s="10" t="s">
        <v>2</v>
      </c>
      <c r="F9" s="9">
        <v>5</v>
      </c>
      <c r="G9" s="28" t="s">
        <v>0</v>
      </c>
      <c r="H9" s="29"/>
      <c r="I9" s="29"/>
      <c r="J9" t="str">
        <f>IF(F9="","-",IF(F9=D9,"E",IF(F9&gt;D9,"V","D")))</f>
        <v>V</v>
      </c>
    </row>
    <row r="10" spans="1:20" x14ac:dyDescent="0.25">
      <c r="A10" s="5">
        <v>0.3923611111111111</v>
      </c>
      <c r="B10" t="str">
        <f t="shared" ref="B10:B36" si="0">IF(D10="","-",IF(D10=F10,"E",IF(D10&gt;F10,"V","D")))</f>
        <v>D</v>
      </c>
      <c r="C10" s="8" t="s">
        <v>15</v>
      </c>
      <c r="D10" s="9">
        <v>2</v>
      </c>
      <c r="E10" s="10" t="s">
        <v>2</v>
      </c>
      <c r="F10" s="9">
        <v>6</v>
      </c>
      <c r="G10" s="28" t="s">
        <v>16</v>
      </c>
      <c r="H10" s="29"/>
      <c r="I10" s="29"/>
      <c r="J10" t="str">
        <f t="shared" ref="J10:J36" si="1">IF(F10="","-",IF(F10=D10,"E",IF(F10&gt;D10,"V","D")))</f>
        <v>V</v>
      </c>
    </row>
    <row r="11" spans="1:20" x14ac:dyDescent="0.25">
      <c r="A11" s="5">
        <v>0.40972222222222221</v>
      </c>
      <c r="B11" t="str">
        <f t="shared" si="0"/>
        <v>D</v>
      </c>
      <c r="C11" s="12" t="s">
        <v>1</v>
      </c>
      <c r="D11" s="9">
        <v>1</v>
      </c>
      <c r="E11" s="10" t="s">
        <v>2</v>
      </c>
      <c r="F11" s="9">
        <v>2</v>
      </c>
      <c r="G11" s="32" t="s">
        <v>17</v>
      </c>
      <c r="H11" s="33"/>
      <c r="I11" s="33"/>
      <c r="J11" t="str">
        <f t="shared" si="1"/>
        <v>V</v>
      </c>
    </row>
    <row r="12" spans="1:20" x14ac:dyDescent="0.25">
      <c r="A12" s="5">
        <v>0.42708333333333331</v>
      </c>
      <c r="B12" t="str">
        <f t="shared" si="0"/>
        <v>V</v>
      </c>
      <c r="C12" s="12" t="s">
        <v>12</v>
      </c>
      <c r="D12" s="9">
        <v>1</v>
      </c>
      <c r="E12" s="10" t="s">
        <v>2</v>
      </c>
      <c r="F12" s="9">
        <v>0</v>
      </c>
      <c r="G12" s="32" t="s">
        <v>18</v>
      </c>
      <c r="H12" s="33"/>
      <c r="I12" s="33"/>
      <c r="J12" t="str">
        <f t="shared" si="1"/>
        <v>D</v>
      </c>
    </row>
    <row r="13" spans="1:20" x14ac:dyDescent="0.25">
      <c r="A13" s="5">
        <v>0.58333333333333337</v>
      </c>
      <c r="B13" t="str">
        <f t="shared" si="0"/>
        <v>D</v>
      </c>
      <c r="C13" s="11" t="s">
        <v>0</v>
      </c>
      <c r="D13" s="9">
        <v>0</v>
      </c>
      <c r="E13" s="10" t="s">
        <v>2</v>
      </c>
      <c r="F13" s="9">
        <v>6</v>
      </c>
      <c r="G13" s="30" t="s">
        <v>1</v>
      </c>
      <c r="H13" s="31"/>
      <c r="I13" s="31"/>
      <c r="J13" t="str">
        <f t="shared" si="1"/>
        <v>V</v>
      </c>
    </row>
    <row r="14" spans="1:20" x14ac:dyDescent="0.25">
      <c r="A14" s="5">
        <v>0.60069444444444453</v>
      </c>
      <c r="B14" t="str">
        <f t="shared" si="0"/>
        <v>E</v>
      </c>
      <c r="C14" s="11" t="s">
        <v>25</v>
      </c>
      <c r="D14" s="9">
        <v>2</v>
      </c>
      <c r="E14" s="10" t="s">
        <v>2</v>
      </c>
      <c r="F14" s="9">
        <v>2</v>
      </c>
      <c r="G14" s="30" t="s">
        <v>19</v>
      </c>
      <c r="H14" s="31"/>
      <c r="I14" s="31"/>
      <c r="J14" t="str">
        <f t="shared" si="1"/>
        <v>E</v>
      </c>
    </row>
    <row r="15" spans="1:20" x14ac:dyDescent="0.25">
      <c r="A15" s="5">
        <v>0.61805555555555569</v>
      </c>
      <c r="B15" t="str">
        <f t="shared" si="0"/>
        <v>V</v>
      </c>
      <c r="C15" s="11" t="s">
        <v>16</v>
      </c>
      <c r="D15" s="9">
        <v>3</v>
      </c>
      <c r="E15" s="10" t="s">
        <v>2</v>
      </c>
      <c r="F15" s="9">
        <v>1</v>
      </c>
      <c r="G15" s="30" t="s">
        <v>12</v>
      </c>
      <c r="H15" s="31"/>
      <c r="I15" s="31"/>
      <c r="J15" t="str">
        <f t="shared" si="1"/>
        <v>D</v>
      </c>
    </row>
    <row r="16" spans="1:20" x14ac:dyDescent="0.25">
      <c r="A16" s="5">
        <v>0.63541666666666685</v>
      </c>
      <c r="B16" t="str">
        <f t="shared" si="0"/>
        <v>V</v>
      </c>
      <c r="C16" s="11" t="s">
        <v>13</v>
      </c>
      <c r="D16" s="9">
        <v>3</v>
      </c>
      <c r="E16" s="10" t="s">
        <v>2</v>
      </c>
      <c r="F16" s="9">
        <v>1</v>
      </c>
      <c r="G16" s="30" t="s">
        <v>20</v>
      </c>
      <c r="H16" s="31"/>
      <c r="I16" s="31"/>
      <c r="J16" t="str">
        <f t="shared" si="1"/>
        <v>D</v>
      </c>
    </row>
    <row r="17" spans="1:10" x14ac:dyDescent="0.25">
      <c r="A17" s="5">
        <v>0.70486111111111149</v>
      </c>
      <c r="B17" t="str">
        <f t="shared" si="0"/>
        <v>V</v>
      </c>
      <c r="C17" s="13" t="s">
        <v>17</v>
      </c>
      <c r="D17" s="9">
        <v>6</v>
      </c>
      <c r="E17" s="10" t="s">
        <v>2</v>
      </c>
      <c r="F17" s="9">
        <v>0</v>
      </c>
      <c r="G17" s="28" t="s">
        <v>21</v>
      </c>
      <c r="H17" s="29"/>
      <c r="I17" s="29"/>
      <c r="J17" t="str">
        <f t="shared" si="1"/>
        <v>D</v>
      </c>
    </row>
    <row r="18" spans="1:10" x14ac:dyDescent="0.25">
      <c r="A18" s="5">
        <v>0.72222222222222265</v>
      </c>
      <c r="B18" t="str">
        <f t="shared" si="0"/>
        <v>E</v>
      </c>
      <c r="C18" s="13" t="s">
        <v>26</v>
      </c>
      <c r="D18" s="9">
        <v>2</v>
      </c>
      <c r="E18" s="10" t="s">
        <v>2</v>
      </c>
      <c r="F18" s="9">
        <v>2</v>
      </c>
      <c r="G18" s="28" t="s">
        <v>25</v>
      </c>
      <c r="H18" s="29"/>
      <c r="I18" s="29"/>
      <c r="J18" t="str">
        <f t="shared" si="1"/>
        <v>E</v>
      </c>
    </row>
    <row r="19" spans="1:10" x14ac:dyDescent="0.25">
      <c r="A19" s="5">
        <v>0.73958333333333381</v>
      </c>
      <c r="B19" t="str">
        <f t="shared" si="0"/>
        <v>D</v>
      </c>
      <c r="C19" s="13" t="s">
        <v>18</v>
      </c>
      <c r="D19" s="9">
        <v>4</v>
      </c>
      <c r="E19" s="10" t="s">
        <v>2</v>
      </c>
      <c r="F19" s="9">
        <v>5</v>
      </c>
      <c r="G19" s="28" t="s">
        <v>16</v>
      </c>
      <c r="H19" s="29"/>
      <c r="I19" s="29"/>
      <c r="J19" t="str">
        <f t="shared" si="1"/>
        <v>V</v>
      </c>
    </row>
    <row r="20" spans="1:10" x14ac:dyDescent="0.25">
      <c r="A20" s="5">
        <v>0.75694444444444497</v>
      </c>
      <c r="B20" t="str">
        <f t="shared" si="0"/>
        <v>E</v>
      </c>
      <c r="C20" s="13" t="s">
        <v>22</v>
      </c>
      <c r="D20" s="9">
        <v>1</v>
      </c>
      <c r="E20" s="10" t="s">
        <v>2</v>
      </c>
      <c r="F20" s="9">
        <v>1</v>
      </c>
      <c r="G20" s="28" t="s">
        <v>13</v>
      </c>
      <c r="H20" s="29"/>
      <c r="I20" s="29"/>
      <c r="J20" t="str">
        <f t="shared" si="1"/>
        <v>E</v>
      </c>
    </row>
    <row r="21" spans="1:10" x14ac:dyDescent="0.25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25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25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25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25">
      <c r="A25" s="5">
        <v>0.375</v>
      </c>
      <c r="B25" t="str">
        <f t="shared" si="0"/>
        <v>D</v>
      </c>
      <c r="C25" s="8" t="s">
        <v>23</v>
      </c>
      <c r="D25" s="9">
        <v>0</v>
      </c>
      <c r="E25" s="10" t="s">
        <v>2</v>
      </c>
      <c r="F25" s="9">
        <v>2</v>
      </c>
      <c r="G25" s="28" t="s">
        <v>25</v>
      </c>
      <c r="H25" s="29"/>
      <c r="I25" s="29"/>
      <c r="J25" t="str">
        <f t="shared" si="1"/>
        <v>V</v>
      </c>
    </row>
    <row r="26" spans="1:10" x14ac:dyDescent="0.25">
      <c r="A26" s="5">
        <v>0.3923611111111111</v>
      </c>
      <c r="B26" t="str">
        <f t="shared" si="0"/>
        <v>V</v>
      </c>
      <c r="C26" s="8" t="s">
        <v>24</v>
      </c>
      <c r="D26" s="9">
        <v>2</v>
      </c>
      <c r="E26" s="10" t="s">
        <v>2</v>
      </c>
      <c r="F26" s="9">
        <v>0</v>
      </c>
      <c r="G26" s="28" t="s">
        <v>13</v>
      </c>
      <c r="H26" s="29"/>
      <c r="I26" s="29"/>
      <c r="J26" t="str">
        <f t="shared" si="1"/>
        <v>D</v>
      </c>
    </row>
    <row r="27" spans="1:10" x14ac:dyDescent="0.25">
      <c r="A27" s="5">
        <v>0.40972222222222221</v>
      </c>
      <c r="B27" t="str">
        <f t="shared" si="0"/>
        <v>E</v>
      </c>
      <c r="C27" s="12" t="s">
        <v>19</v>
      </c>
      <c r="D27" s="9">
        <v>1</v>
      </c>
      <c r="E27" s="10" t="s">
        <v>2</v>
      </c>
      <c r="F27" s="9">
        <v>1</v>
      </c>
      <c r="G27" s="32" t="s">
        <v>26</v>
      </c>
      <c r="H27" s="33"/>
      <c r="I27" s="33"/>
      <c r="J27" t="str">
        <f t="shared" si="1"/>
        <v>E</v>
      </c>
    </row>
    <row r="28" spans="1:10" x14ac:dyDescent="0.25">
      <c r="A28" s="5">
        <v>0.42708333333333331</v>
      </c>
      <c r="B28" t="str">
        <f t="shared" si="0"/>
        <v>E</v>
      </c>
      <c r="C28" s="12" t="s">
        <v>20</v>
      </c>
      <c r="D28" s="9">
        <v>0</v>
      </c>
      <c r="E28" s="10" t="s">
        <v>2</v>
      </c>
      <c r="F28" s="9">
        <v>0</v>
      </c>
      <c r="G28" s="32" t="s">
        <v>22</v>
      </c>
      <c r="H28" s="33"/>
      <c r="I28" s="33"/>
      <c r="J28" t="str">
        <f t="shared" si="1"/>
        <v>E</v>
      </c>
    </row>
    <row r="29" spans="1:10" x14ac:dyDescent="0.25">
      <c r="A29" s="5">
        <v>0.58333333333333337</v>
      </c>
      <c r="B29" t="str">
        <f t="shared" si="0"/>
        <v>V</v>
      </c>
      <c r="C29" s="13" t="s">
        <v>17</v>
      </c>
      <c r="D29" s="9">
        <v>3</v>
      </c>
      <c r="E29" s="10" t="s">
        <v>2</v>
      </c>
      <c r="F29" s="9">
        <v>0</v>
      </c>
      <c r="G29" s="36" t="s">
        <v>14</v>
      </c>
      <c r="H29" s="37"/>
      <c r="I29" s="37"/>
      <c r="J29" t="str">
        <f t="shared" si="1"/>
        <v>D</v>
      </c>
    </row>
    <row r="30" spans="1:10" x14ac:dyDescent="0.25">
      <c r="A30" s="5">
        <v>0.60069444444444453</v>
      </c>
      <c r="B30" t="str">
        <f t="shared" si="0"/>
        <v>V</v>
      </c>
      <c r="C30" s="13" t="s">
        <v>26</v>
      </c>
      <c r="D30" s="9">
        <v>1</v>
      </c>
      <c r="E30" s="10" t="s">
        <v>2</v>
      </c>
      <c r="F30" s="9">
        <v>0</v>
      </c>
      <c r="G30" s="36" t="s">
        <v>23</v>
      </c>
      <c r="H30" s="37"/>
      <c r="I30" s="37"/>
      <c r="J30" t="str">
        <f t="shared" si="1"/>
        <v>D</v>
      </c>
    </row>
    <row r="31" spans="1:10" x14ac:dyDescent="0.25">
      <c r="A31" s="5">
        <v>0.61805555555555569</v>
      </c>
      <c r="B31" t="str">
        <f t="shared" si="0"/>
        <v>V</v>
      </c>
      <c r="C31" s="13" t="s">
        <v>18</v>
      </c>
      <c r="D31" s="9">
        <v>2</v>
      </c>
      <c r="E31" s="10" t="s">
        <v>2</v>
      </c>
      <c r="F31" s="9">
        <v>0</v>
      </c>
      <c r="G31" s="36" t="s">
        <v>15</v>
      </c>
      <c r="H31" s="37"/>
      <c r="I31" s="37"/>
      <c r="J31" t="str">
        <f t="shared" si="1"/>
        <v>D</v>
      </c>
    </row>
    <row r="32" spans="1:10" x14ac:dyDescent="0.25">
      <c r="A32" s="5">
        <v>0.63541666666666685</v>
      </c>
      <c r="B32" t="str">
        <f t="shared" si="0"/>
        <v>V</v>
      </c>
      <c r="C32" s="13" t="s">
        <v>22</v>
      </c>
      <c r="D32" s="9">
        <v>1</v>
      </c>
      <c r="E32" s="10" t="s">
        <v>2</v>
      </c>
      <c r="F32" s="9">
        <v>0</v>
      </c>
      <c r="G32" s="36" t="s">
        <v>24</v>
      </c>
      <c r="H32" s="37"/>
      <c r="I32" s="37"/>
      <c r="J32" t="str">
        <f t="shared" si="1"/>
        <v>D</v>
      </c>
    </row>
    <row r="33" spans="1:10" x14ac:dyDescent="0.25">
      <c r="A33" s="5">
        <v>0.70486111111111149</v>
      </c>
      <c r="B33" t="str">
        <f t="shared" si="0"/>
        <v>D</v>
      </c>
      <c r="C33" s="8" t="s">
        <v>14</v>
      </c>
      <c r="D33" s="9">
        <v>0</v>
      </c>
      <c r="E33" s="10" t="s">
        <v>2</v>
      </c>
      <c r="F33" s="9">
        <v>5</v>
      </c>
      <c r="G33" s="30" t="s">
        <v>1</v>
      </c>
      <c r="H33" s="31"/>
      <c r="I33" s="31"/>
      <c r="J33" t="str">
        <f t="shared" si="1"/>
        <v>V</v>
      </c>
    </row>
    <row r="34" spans="1:10" x14ac:dyDescent="0.25">
      <c r="A34" s="5">
        <v>0.72222222222222265</v>
      </c>
      <c r="B34" t="str">
        <f t="shared" si="0"/>
        <v>D</v>
      </c>
      <c r="C34" s="8" t="s">
        <v>23</v>
      </c>
      <c r="D34" s="9">
        <v>0</v>
      </c>
      <c r="E34" s="10" t="s">
        <v>2</v>
      </c>
      <c r="F34" s="9">
        <v>4</v>
      </c>
      <c r="G34" s="30" t="s">
        <v>19</v>
      </c>
      <c r="H34" s="31"/>
      <c r="I34" s="31"/>
      <c r="J34" t="str">
        <f t="shared" si="1"/>
        <v>V</v>
      </c>
    </row>
    <row r="35" spans="1:10" x14ac:dyDescent="0.25">
      <c r="A35" s="5">
        <v>0.73958333333333381</v>
      </c>
      <c r="B35" t="str">
        <f t="shared" si="0"/>
        <v>D</v>
      </c>
      <c r="C35" s="8" t="s">
        <v>15</v>
      </c>
      <c r="D35" s="9">
        <v>2</v>
      </c>
      <c r="E35" s="10" t="s">
        <v>2</v>
      </c>
      <c r="F35" s="9">
        <v>4</v>
      </c>
      <c r="G35" s="30" t="s">
        <v>12</v>
      </c>
      <c r="H35" s="31"/>
      <c r="I35" s="31"/>
      <c r="J35" t="str">
        <f t="shared" si="1"/>
        <v>V</v>
      </c>
    </row>
    <row r="36" spans="1:10" x14ac:dyDescent="0.25">
      <c r="A36" s="5">
        <v>0.75694444444444497</v>
      </c>
      <c r="B36" t="str">
        <f t="shared" si="0"/>
        <v>V</v>
      </c>
      <c r="C36" s="8" t="s">
        <v>24</v>
      </c>
      <c r="D36" s="9">
        <v>6</v>
      </c>
      <c r="E36" s="10" t="s">
        <v>2</v>
      </c>
      <c r="F36" s="9">
        <v>1</v>
      </c>
      <c r="G36" s="30" t="s">
        <v>20</v>
      </c>
      <c r="H36" s="31"/>
      <c r="I36" s="31"/>
      <c r="J36" t="str">
        <f t="shared" si="1"/>
        <v>D</v>
      </c>
    </row>
    <row r="37" spans="1:10" x14ac:dyDescent="0.25">
      <c r="A37" s="5">
        <v>0.61458333333333348</v>
      </c>
      <c r="B37" t="str">
        <f t="shared" ref="B37:B39" si="2">IF(D37="","-",IF(D37=F37,"E",IF(D37&gt;F37,"V","D")))</f>
        <v>-</v>
      </c>
      <c r="C37" s="1"/>
      <c r="D37" s="2"/>
      <c r="E37" s="3"/>
      <c r="F37" s="2"/>
      <c r="G37" s="34"/>
      <c r="H37" s="35"/>
      <c r="I37" s="35"/>
      <c r="J37" t="str">
        <f t="shared" ref="J37:J39" si="3">IF(F37="","-",IF(F37=D37,"E",IF(F37&gt;D37,"V","D")))</f>
        <v>-</v>
      </c>
    </row>
    <row r="38" spans="1:10" x14ac:dyDescent="0.25">
      <c r="A38" s="5">
        <v>0.63194444444444464</v>
      </c>
      <c r="B38" t="str">
        <f t="shared" si="2"/>
        <v>-</v>
      </c>
      <c r="C38" s="1"/>
      <c r="D38" s="2"/>
      <c r="E38" s="3"/>
      <c r="F38" s="2"/>
      <c r="G38" s="34"/>
      <c r="H38" s="35"/>
      <c r="I38" s="35"/>
      <c r="J38" t="str">
        <f t="shared" si="3"/>
        <v>-</v>
      </c>
    </row>
    <row r="39" spans="1:10" x14ac:dyDescent="0.25">
      <c r="A39" s="5">
        <v>0.6493055555555558</v>
      </c>
      <c r="B39" t="str">
        <f t="shared" si="2"/>
        <v>-</v>
      </c>
      <c r="C39" s="1"/>
      <c r="D39" s="2"/>
      <c r="E39" s="3"/>
      <c r="F39" s="2"/>
      <c r="G39" s="34"/>
      <c r="H39" s="35"/>
      <c r="I39" s="35"/>
      <c r="J39" t="str">
        <f t="shared" si="3"/>
        <v>-</v>
      </c>
    </row>
  </sheetData>
  <mergeCells count="28">
    <mergeCell ref="G19:I19"/>
    <mergeCell ref="C1:K1"/>
    <mergeCell ref="G9:I9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  <mergeCell ref="G31:I31"/>
    <mergeCell ref="G20:I20"/>
    <mergeCell ref="G25:I25"/>
    <mergeCell ref="G26:I26"/>
    <mergeCell ref="G27:I27"/>
    <mergeCell ref="G28:I28"/>
    <mergeCell ref="G29:I29"/>
    <mergeCell ref="G30:I30"/>
    <mergeCell ref="G38:I38"/>
    <mergeCell ref="G39:I39"/>
    <mergeCell ref="G32:I32"/>
    <mergeCell ref="G33:I33"/>
    <mergeCell ref="G34:I34"/>
    <mergeCell ref="G35:I35"/>
    <mergeCell ref="G36:I36"/>
    <mergeCell ref="G37:I37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:S39"/>
  <sheetViews>
    <sheetView workbookViewId="0">
      <selection activeCell="Q17" sqref="Q17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  <col min="16" max="16" width="29.7109375" bestFit="1" customWidth="1"/>
    <col min="17" max="17" width="19.42578125" bestFit="1" customWidth="1"/>
  </cols>
  <sheetData>
    <row r="1" spans="1:19" s="4" customFormat="1" ht="18.75" x14ac:dyDescent="0.25">
      <c r="C1" s="26" t="s">
        <v>34</v>
      </c>
      <c r="D1" s="26"/>
      <c r="E1" s="26"/>
      <c r="F1" s="26"/>
      <c r="G1" s="26"/>
      <c r="H1" s="26"/>
      <c r="I1" s="26"/>
      <c r="J1" s="26"/>
      <c r="K1" s="27"/>
    </row>
    <row r="2" spans="1:19" s="4" customFormat="1" x14ac:dyDescent="0.25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8" t="s">
        <v>24</v>
      </c>
      <c r="Q2" s="4" t="s">
        <v>73</v>
      </c>
      <c r="S2" s="4" t="s">
        <v>74</v>
      </c>
    </row>
    <row r="3" spans="1:19" s="4" customFormat="1" x14ac:dyDescent="0.25">
      <c r="C3" s="4" t="s">
        <v>24</v>
      </c>
      <c r="D3" s="4">
        <f>F3*3+G3</f>
        <v>6</v>
      </c>
      <c r="E3" s="4">
        <f>SUM(F3:H3)</f>
        <v>3</v>
      </c>
      <c r="F3" s="4">
        <f>COUNTIF($B$26,"V")+COUNTIF($B$36,"V")+COUNTIF($J$32,"V")</f>
        <v>2</v>
      </c>
      <c r="G3" s="4">
        <f>COUNTIF($B$26,"E")+COUNTIF($J$32,"E")+COUNTIF($B$36,"E")</f>
        <v>0</v>
      </c>
      <c r="H3" s="4">
        <f>COUNTIF($B$26,"D")+COUNTIF($J$32,"D")+COUNTIF($B$36,"D")</f>
        <v>1</v>
      </c>
      <c r="I3" s="4">
        <f>$D$36+$F$32+$D$26</f>
        <v>8</v>
      </c>
      <c r="J3" s="4">
        <f>$F$36+$D$32+$F$26</f>
        <v>2</v>
      </c>
      <c r="K3" s="4">
        <f>I3-J3</f>
        <v>6</v>
      </c>
      <c r="P3" s="11" t="s">
        <v>13</v>
      </c>
      <c r="Q3" s="4" t="s">
        <v>59</v>
      </c>
      <c r="S3" s="4" t="s">
        <v>75</v>
      </c>
    </row>
    <row r="4" spans="1:19" s="4" customFormat="1" x14ac:dyDescent="0.25">
      <c r="C4" s="4" t="s">
        <v>30</v>
      </c>
      <c r="D4" s="4">
        <f>F4*3+G4</f>
        <v>5</v>
      </c>
      <c r="E4" s="4">
        <f>SUM(F4:H4)</f>
        <v>3</v>
      </c>
      <c r="F4" s="4">
        <f>COUNTIF($B$20,"V")+COUNTIF($J$28,"V")+COUNTIF($B$32,"V")</f>
        <v>1</v>
      </c>
      <c r="G4" s="4">
        <f>COUNTIF($B$20,"E")+COUNTIF($J$28,"E")+COUNTIF($B$32,"E")</f>
        <v>2</v>
      </c>
      <c r="H4" s="4">
        <f>COUNTIF($B$32,"D")+COUNTIF($J$28,"D")+COUNTIF($B$20,"D")</f>
        <v>0</v>
      </c>
      <c r="I4" s="4">
        <f>SUM(D20+F28+D32)</f>
        <v>2</v>
      </c>
      <c r="J4" s="4">
        <f>SUM(F20+F32+D28)</f>
        <v>1</v>
      </c>
      <c r="K4" s="4">
        <f>I4-J4</f>
        <v>1</v>
      </c>
      <c r="P4" s="12" t="s">
        <v>20</v>
      </c>
      <c r="Q4" s="4" t="s">
        <v>76</v>
      </c>
      <c r="S4" s="21" t="s">
        <v>77</v>
      </c>
    </row>
    <row r="5" spans="1:19" s="4" customFormat="1" x14ac:dyDescent="0.25">
      <c r="C5" s="4" t="s">
        <v>13</v>
      </c>
      <c r="D5" s="4">
        <f>F5*3+G5</f>
        <v>4</v>
      </c>
      <c r="E5" s="4">
        <f>SUM(F5:H5)</f>
        <v>3</v>
      </c>
      <c r="F5" s="4">
        <f>COUNTIF($B$16,"V")+COUNTIF($J$26,"V")+COUNTIF($J$20,"V")</f>
        <v>1</v>
      </c>
      <c r="G5" s="4">
        <f>COUNTIF($J$20,"E")+COUNTIF($B$16,"E")+COUNTIF($J$26,"E")</f>
        <v>1</v>
      </c>
      <c r="H5" s="4">
        <f>COUNTIF($B$16,"D")+COUNTIF($J$26,"D")+COUNTIF($J$20,"D")</f>
        <v>1</v>
      </c>
      <c r="I5" s="4">
        <f>SUM(D16+F26+F20)</f>
        <v>4</v>
      </c>
      <c r="J5" s="4">
        <f>SUM(F16+D26+D20)</f>
        <v>4</v>
      </c>
      <c r="K5" s="4">
        <f>I5-J5</f>
        <v>0</v>
      </c>
      <c r="P5" s="13" t="s">
        <v>22</v>
      </c>
      <c r="Q5" s="4" t="s">
        <v>78</v>
      </c>
      <c r="S5" s="4" t="s">
        <v>79</v>
      </c>
    </row>
    <row r="6" spans="1:19" s="4" customFormat="1" x14ac:dyDescent="0.25">
      <c r="C6" s="4" t="s">
        <v>20</v>
      </c>
      <c r="D6" s="4">
        <f>F6*3+G6</f>
        <v>1</v>
      </c>
      <c r="E6" s="4">
        <f>SUM(F6:H6)</f>
        <v>3</v>
      </c>
      <c r="F6" s="4">
        <f>COUNTIF($J$36,"V")+COUNTIF($B$28,"V")+COUNTIF($J$16,"V")</f>
        <v>0</v>
      </c>
      <c r="G6" s="4">
        <f>COUNTIF($J$36,"E")+COUNTIF($B$28,"E")+COUNTIF($J$16,"E")</f>
        <v>1</v>
      </c>
      <c r="H6" s="4">
        <f>COUNTIF($B$28,"D")+COUNTIF($J$36,"D")+COUNTIF($J$16,"D")</f>
        <v>2</v>
      </c>
      <c r="I6" s="4">
        <f>SUM(F16+F36+D28)</f>
        <v>2</v>
      </c>
      <c r="J6" s="4">
        <f>SUM(D16+F28+D36)</f>
        <v>9</v>
      </c>
      <c r="K6" s="4">
        <f>I6-J6</f>
        <v>-7</v>
      </c>
    </row>
    <row r="7" spans="1:19" x14ac:dyDescent="0.25">
      <c r="K7">
        <f>SUBTOTAL(109,Tabela2562[DIFG])</f>
        <v>0</v>
      </c>
    </row>
    <row r="9" spans="1:19" x14ac:dyDescent="0.25">
      <c r="A9" s="5">
        <v>0.375</v>
      </c>
      <c r="B9" t="str">
        <f>IF(D9="","-",IF(D9=F9,"E",IF(D9&gt;F9,"V","D")))</f>
        <v>D</v>
      </c>
      <c r="C9" s="8" t="s">
        <v>14</v>
      </c>
      <c r="D9" s="9">
        <v>0</v>
      </c>
      <c r="E9" s="10" t="s">
        <v>2</v>
      </c>
      <c r="F9" s="9">
        <v>5</v>
      </c>
      <c r="G9" s="28" t="s">
        <v>0</v>
      </c>
      <c r="H9" s="29"/>
      <c r="I9" s="29"/>
      <c r="J9" t="str">
        <f>IF(F9="","-",IF(F9=D9,"E",IF(F9&gt;D9,"V","D")))</f>
        <v>V</v>
      </c>
    </row>
    <row r="10" spans="1:19" x14ac:dyDescent="0.25">
      <c r="A10" s="5">
        <v>0.3923611111111111</v>
      </c>
      <c r="B10" t="str">
        <f t="shared" ref="B10:B39" si="0">IF(D10="","-",IF(D10=F10,"E",IF(D10&gt;F10,"V","D")))</f>
        <v>D</v>
      </c>
      <c r="C10" s="8" t="s">
        <v>15</v>
      </c>
      <c r="D10" s="9">
        <v>2</v>
      </c>
      <c r="E10" s="10" t="s">
        <v>2</v>
      </c>
      <c r="F10" s="9">
        <v>6</v>
      </c>
      <c r="G10" s="28" t="s">
        <v>16</v>
      </c>
      <c r="H10" s="29"/>
      <c r="I10" s="29"/>
      <c r="J10" t="str">
        <f t="shared" ref="J10:J39" si="1">IF(F10="","-",IF(F10=D10,"E",IF(F10&gt;D10,"V","D")))</f>
        <v>V</v>
      </c>
    </row>
    <row r="11" spans="1:19" x14ac:dyDescent="0.25">
      <c r="A11" s="5">
        <v>0.40972222222222221</v>
      </c>
      <c r="B11" t="str">
        <f t="shared" si="0"/>
        <v>D</v>
      </c>
      <c r="C11" s="12" t="s">
        <v>1</v>
      </c>
      <c r="D11" s="9">
        <v>1</v>
      </c>
      <c r="E11" s="10" t="s">
        <v>2</v>
      </c>
      <c r="F11" s="9">
        <v>2</v>
      </c>
      <c r="G11" s="32" t="s">
        <v>17</v>
      </c>
      <c r="H11" s="33"/>
      <c r="I11" s="33"/>
      <c r="J11" t="str">
        <f t="shared" si="1"/>
        <v>V</v>
      </c>
    </row>
    <row r="12" spans="1:19" x14ac:dyDescent="0.25">
      <c r="A12" s="5">
        <v>0.42708333333333331</v>
      </c>
      <c r="B12" t="str">
        <f t="shared" si="0"/>
        <v>V</v>
      </c>
      <c r="C12" s="12" t="s">
        <v>12</v>
      </c>
      <c r="D12" s="9">
        <v>1</v>
      </c>
      <c r="E12" s="10" t="s">
        <v>2</v>
      </c>
      <c r="F12" s="9">
        <v>0</v>
      </c>
      <c r="G12" s="32" t="s">
        <v>18</v>
      </c>
      <c r="H12" s="33"/>
      <c r="I12" s="33"/>
      <c r="J12" t="str">
        <f t="shared" si="1"/>
        <v>D</v>
      </c>
    </row>
    <row r="13" spans="1:19" x14ac:dyDescent="0.25">
      <c r="A13" s="5">
        <v>0.58333333333333337</v>
      </c>
      <c r="B13" t="str">
        <f t="shared" si="0"/>
        <v>D</v>
      </c>
      <c r="C13" s="11" t="s">
        <v>0</v>
      </c>
      <c r="D13" s="9">
        <v>0</v>
      </c>
      <c r="E13" s="10" t="s">
        <v>2</v>
      </c>
      <c r="F13" s="9">
        <v>6</v>
      </c>
      <c r="G13" s="30" t="s">
        <v>1</v>
      </c>
      <c r="H13" s="31"/>
      <c r="I13" s="31"/>
      <c r="J13" t="str">
        <f t="shared" si="1"/>
        <v>V</v>
      </c>
    </row>
    <row r="14" spans="1:19" x14ac:dyDescent="0.25">
      <c r="A14" s="5">
        <v>0.60069444444444453</v>
      </c>
      <c r="B14" t="str">
        <f t="shared" si="0"/>
        <v>E</v>
      </c>
      <c r="C14" s="11" t="s">
        <v>25</v>
      </c>
      <c r="D14" s="9">
        <v>2</v>
      </c>
      <c r="E14" s="10" t="s">
        <v>2</v>
      </c>
      <c r="F14" s="9">
        <v>2</v>
      </c>
      <c r="G14" s="30" t="s">
        <v>19</v>
      </c>
      <c r="H14" s="31"/>
      <c r="I14" s="31"/>
      <c r="J14" t="str">
        <f t="shared" si="1"/>
        <v>E</v>
      </c>
    </row>
    <row r="15" spans="1:19" x14ac:dyDescent="0.25">
      <c r="A15" s="5">
        <v>0.61805555555555569</v>
      </c>
      <c r="B15" t="str">
        <f t="shared" si="0"/>
        <v>V</v>
      </c>
      <c r="C15" s="11" t="s">
        <v>16</v>
      </c>
      <c r="D15" s="9">
        <v>3</v>
      </c>
      <c r="E15" s="10" t="s">
        <v>2</v>
      </c>
      <c r="F15" s="9">
        <v>1</v>
      </c>
      <c r="G15" s="30" t="s">
        <v>12</v>
      </c>
      <c r="H15" s="31"/>
      <c r="I15" s="31"/>
      <c r="J15" t="str">
        <f t="shared" si="1"/>
        <v>D</v>
      </c>
    </row>
    <row r="16" spans="1:19" x14ac:dyDescent="0.25">
      <c r="A16" s="5">
        <v>0.63541666666666685</v>
      </c>
      <c r="B16" t="str">
        <f t="shared" si="0"/>
        <v>V</v>
      </c>
      <c r="C16" s="11" t="s">
        <v>13</v>
      </c>
      <c r="D16" s="9">
        <v>3</v>
      </c>
      <c r="E16" s="10" t="s">
        <v>2</v>
      </c>
      <c r="F16" s="9">
        <v>1</v>
      </c>
      <c r="G16" s="30" t="s">
        <v>20</v>
      </c>
      <c r="H16" s="31"/>
      <c r="I16" s="31"/>
      <c r="J16" t="str">
        <f t="shared" si="1"/>
        <v>D</v>
      </c>
    </row>
    <row r="17" spans="1:10" x14ac:dyDescent="0.25">
      <c r="A17" s="5">
        <v>0.70486111111111149</v>
      </c>
      <c r="B17" t="str">
        <f t="shared" si="0"/>
        <v>V</v>
      </c>
      <c r="C17" s="13" t="s">
        <v>17</v>
      </c>
      <c r="D17" s="9">
        <v>6</v>
      </c>
      <c r="E17" s="10" t="s">
        <v>2</v>
      </c>
      <c r="F17" s="9">
        <v>0</v>
      </c>
      <c r="G17" s="28" t="s">
        <v>21</v>
      </c>
      <c r="H17" s="29"/>
      <c r="I17" s="29"/>
      <c r="J17" t="str">
        <f t="shared" si="1"/>
        <v>D</v>
      </c>
    </row>
    <row r="18" spans="1:10" x14ac:dyDescent="0.25">
      <c r="A18" s="5">
        <v>0.72222222222222265</v>
      </c>
      <c r="B18" t="str">
        <f t="shared" si="0"/>
        <v>E</v>
      </c>
      <c r="C18" s="13" t="s">
        <v>26</v>
      </c>
      <c r="D18" s="9">
        <v>2</v>
      </c>
      <c r="E18" s="10" t="s">
        <v>2</v>
      </c>
      <c r="F18" s="9">
        <v>2</v>
      </c>
      <c r="G18" s="28" t="s">
        <v>25</v>
      </c>
      <c r="H18" s="29"/>
      <c r="I18" s="29"/>
      <c r="J18" t="str">
        <f t="shared" si="1"/>
        <v>E</v>
      </c>
    </row>
    <row r="19" spans="1:10" x14ac:dyDescent="0.25">
      <c r="A19" s="5">
        <v>0.73958333333333381</v>
      </c>
      <c r="B19" t="str">
        <f t="shared" si="0"/>
        <v>D</v>
      </c>
      <c r="C19" s="13" t="s">
        <v>18</v>
      </c>
      <c r="D19" s="9">
        <v>4</v>
      </c>
      <c r="E19" s="10" t="s">
        <v>2</v>
      </c>
      <c r="F19" s="9">
        <v>5</v>
      </c>
      <c r="G19" s="28" t="s">
        <v>16</v>
      </c>
      <c r="H19" s="29"/>
      <c r="I19" s="29"/>
      <c r="J19" t="str">
        <f t="shared" si="1"/>
        <v>V</v>
      </c>
    </row>
    <row r="20" spans="1:10" x14ac:dyDescent="0.25">
      <c r="A20" s="5">
        <v>0.75694444444444497</v>
      </c>
      <c r="B20" t="str">
        <f t="shared" si="0"/>
        <v>E</v>
      </c>
      <c r="C20" s="13" t="s">
        <v>22</v>
      </c>
      <c r="D20" s="9">
        <v>1</v>
      </c>
      <c r="E20" s="10" t="s">
        <v>2</v>
      </c>
      <c r="F20" s="9">
        <v>1</v>
      </c>
      <c r="G20" s="28" t="s">
        <v>13</v>
      </c>
      <c r="H20" s="29"/>
      <c r="I20" s="29"/>
      <c r="J20" t="str">
        <f t="shared" si="1"/>
        <v>E</v>
      </c>
    </row>
    <row r="21" spans="1:10" x14ac:dyDescent="0.25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25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25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25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25">
      <c r="A25" s="5">
        <v>0.375</v>
      </c>
      <c r="B25" t="str">
        <f t="shared" si="0"/>
        <v>D</v>
      </c>
      <c r="C25" s="8" t="s">
        <v>23</v>
      </c>
      <c r="D25" s="9">
        <v>0</v>
      </c>
      <c r="E25" s="10" t="s">
        <v>2</v>
      </c>
      <c r="F25" s="9">
        <v>2</v>
      </c>
      <c r="G25" s="28" t="s">
        <v>25</v>
      </c>
      <c r="H25" s="29"/>
      <c r="I25" s="29"/>
      <c r="J25" t="str">
        <f t="shared" si="1"/>
        <v>V</v>
      </c>
    </row>
    <row r="26" spans="1:10" x14ac:dyDescent="0.25">
      <c r="A26" s="5">
        <v>0.3923611111111111</v>
      </c>
      <c r="B26" t="str">
        <f t="shared" si="0"/>
        <v>V</v>
      </c>
      <c r="C26" s="8" t="s">
        <v>24</v>
      </c>
      <c r="D26" s="9">
        <v>2</v>
      </c>
      <c r="E26" s="10" t="s">
        <v>2</v>
      </c>
      <c r="F26" s="9">
        <v>0</v>
      </c>
      <c r="G26" s="28" t="s">
        <v>13</v>
      </c>
      <c r="H26" s="29"/>
      <c r="I26" s="29"/>
      <c r="J26" t="str">
        <f t="shared" si="1"/>
        <v>D</v>
      </c>
    </row>
    <row r="27" spans="1:10" x14ac:dyDescent="0.25">
      <c r="A27" s="5">
        <v>0.40972222222222221</v>
      </c>
      <c r="B27" t="str">
        <f t="shared" si="0"/>
        <v>E</v>
      </c>
      <c r="C27" s="12" t="s">
        <v>19</v>
      </c>
      <c r="D27" s="9">
        <v>1</v>
      </c>
      <c r="E27" s="10" t="s">
        <v>2</v>
      </c>
      <c r="F27" s="9">
        <v>1</v>
      </c>
      <c r="G27" s="32" t="s">
        <v>26</v>
      </c>
      <c r="H27" s="33"/>
      <c r="I27" s="33"/>
      <c r="J27" t="str">
        <f t="shared" si="1"/>
        <v>E</v>
      </c>
    </row>
    <row r="28" spans="1:10" x14ac:dyDescent="0.25">
      <c r="A28" s="5">
        <v>0.42708333333333331</v>
      </c>
      <c r="B28" t="str">
        <f t="shared" si="0"/>
        <v>E</v>
      </c>
      <c r="C28" s="12" t="s">
        <v>20</v>
      </c>
      <c r="D28" s="9">
        <v>0</v>
      </c>
      <c r="E28" s="10" t="s">
        <v>2</v>
      </c>
      <c r="F28" s="9">
        <v>0</v>
      </c>
      <c r="G28" s="32" t="s">
        <v>22</v>
      </c>
      <c r="H28" s="33"/>
      <c r="I28" s="33"/>
      <c r="J28" t="str">
        <f t="shared" si="1"/>
        <v>E</v>
      </c>
    </row>
    <row r="29" spans="1:10" x14ac:dyDescent="0.25">
      <c r="A29" s="5">
        <v>0.58333333333333337</v>
      </c>
      <c r="B29" t="str">
        <f t="shared" si="0"/>
        <v>V</v>
      </c>
      <c r="C29" s="13" t="s">
        <v>17</v>
      </c>
      <c r="D29" s="9">
        <v>3</v>
      </c>
      <c r="E29" s="10" t="s">
        <v>2</v>
      </c>
      <c r="F29" s="9">
        <v>0</v>
      </c>
      <c r="G29" s="36" t="s">
        <v>14</v>
      </c>
      <c r="H29" s="37"/>
      <c r="I29" s="37"/>
      <c r="J29" t="str">
        <f t="shared" si="1"/>
        <v>D</v>
      </c>
    </row>
    <row r="30" spans="1:10" x14ac:dyDescent="0.25">
      <c r="A30" s="5">
        <v>0.60069444444444453</v>
      </c>
      <c r="B30" t="str">
        <f t="shared" si="0"/>
        <v>V</v>
      </c>
      <c r="C30" s="13" t="s">
        <v>26</v>
      </c>
      <c r="D30" s="9">
        <v>1</v>
      </c>
      <c r="E30" s="10" t="s">
        <v>2</v>
      </c>
      <c r="F30" s="9">
        <v>0</v>
      </c>
      <c r="G30" s="36" t="s">
        <v>23</v>
      </c>
      <c r="H30" s="37"/>
      <c r="I30" s="37"/>
      <c r="J30" t="str">
        <f t="shared" si="1"/>
        <v>D</v>
      </c>
    </row>
    <row r="31" spans="1:10" x14ac:dyDescent="0.25">
      <c r="A31" s="5">
        <v>0.61805555555555569</v>
      </c>
      <c r="B31" t="str">
        <f t="shared" si="0"/>
        <v>V</v>
      </c>
      <c r="C31" s="13" t="s">
        <v>18</v>
      </c>
      <c r="D31" s="9">
        <v>2</v>
      </c>
      <c r="E31" s="10" t="s">
        <v>2</v>
      </c>
      <c r="F31" s="9">
        <v>0</v>
      </c>
      <c r="G31" s="36" t="s">
        <v>15</v>
      </c>
      <c r="H31" s="37"/>
      <c r="I31" s="37"/>
      <c r="J31" t="str">
        <f t="shared" si="1"/>
        <v>D</v>
      </c>
    </row>
    <row r="32" spans="1:10" x14ac:dyDescent="0.25">
      <c r="A32" s="5">
        <v>0.63541666666666685</v>
      </c>
      <c r="B32" t="str">
        <f t="shared" si="0"/>
        <v>V</v>
      </c>
      <c r="C32" s="13" t="s">
        <v>22</v>
      </c>
      <c r="D32" s="9">
        <v>1</v>
      </c>
      <c r="E32" s="10" t="s">
        <v>2</v>
      </c>
      <c r="F32" s="9">
        <v>0</v>
      </c>
      <c r="G32" s="36" t="s">
        <v>24</v>
      </c>
      <c r="H32" s="37"/>
      <c r="I32" s="37"/>
      <c r="J32" t="str">
        <f t="shared" si="1"/>
        <v>D</v>
      </c>
    </row>
    <row r="33" spans="1:10" x14ac:dyDescent="0.25">
      <c r="A33" s="5">
        <v>0.70486111111111149</v>
      </c>
      <c r="B33" t="str">
        <f t="shared" si="0"/>
        <v>D</v>
      </c>
      <c r="C33" s="8" t="s">
        <v>14</v>
      </c>
      <c r="D33" s="9">
        <v>0</v>
      </c>
      <c r="E33" s="10" t="s">
        <v>2</v>
      </c>
      <c r="F33" s="9">
        <v>5</v>
      </c>
      <c r="G33" s="30" t="s">
        <v>1</v>
      </c>
      <c r="H33" s="31"/>
      <c r="I33" s="31"/>
      <c r="J33" t="str">
        <f t="shared" si="1"/>
        <v>V</v>
      </c>
    </row>
    <row r="34" spans="1:10" x14ac:dyDescent="0.25">
      <c r="A34" s="5">
        <v>0.72222222222222265</v>
      </c>
      <c r="B34" t="str">
        <f t="shared" si="0"/>
        <v>D</v>
      </c>
      <c r="C34" s="8" t="s">
        <v>23</v>
      </c>
      <c r="D34" s="9">
        <v>0</v>
      </c>
      <c r="E34" s="10" t="s">
        <v>2</v>
      </c>
      <c r="F34" s="9">
        <v>4</v>
      </c>
      <c r="G34" s="30" t="s">
        <v>19</v>
      </c>
      <c r="H34" s="31"/>
      <c r="I34" s="31"/>
      <c r="J34" t="str">
        <f t="shared" si="1"/>
        <v>V</v>
      </c>
    </row>
    <row r="35" spans="1:10" x14ac:dyDescent="0.25">
      <c r="A35" s="5">
        <v>0.73958333333333381</v>
      </c>
      <c r="B35" t="str">
        <f t="shared" si="0"/>
        <v>D</v>
      </c>
      <c r="C35" s="8" t="s">
        <v>15</v>
      </c>
      <c r="D35" s="9">
        <v>2</v>
      </c>
      <c r="E35" s="10" t="s">
        <v>2</v>
      </c>
      <c r="F35" s="9">
        <v>4</v>
      </c>
      <c r="G35" s="30" t="s">
        <v>12</v>
      </c>
      <c r="H35" s="31"/>
      <c r="I35" s="31"/>
      <c r="J35" t="str">
        <f t="shared" si="1"/>
        <v>V</v>
      </c>
    </row>
    <row r="36" spans="1:10" x14ac:dyDescent="0.25">
      <c r="A36" s="5">
        <v>0.75694444444444497</v>
      </c>
      <c r="B36" t="str">
        <f t="shared" si="0"/>
        <v>V</v>
      </c>
      <c r="C36" s="8" t="s">
        <v>24</v>
      </c>
      <c r="D36" s="9">
        <v>6</v>
      </c>
      <c r="E36" s="10" t="s">
        <v>2</v>
      </c>
      <c r="F36" s="9">
        <v>1</v>
      </c>
      <c r="G36" s="30" t="s">
        <v>20</v>
      </c>
      <c r="H36" s="31"/>
      <c r="I36" s="31"/>
      <c r="J36" t="str">
        <f t="shared" si="1"/>
        <v>D</v>
      </c>
    </row>
    <row r="37" spans="1:10" x14ac:dyDescent="0.25">
      <c r="A37" s="5">
        <v>0.61458333333333348</v>
      </c>
      <c r="B37" t="str">
        <f t="shared" si="0"/>
        <v>-</v>
      </c>
      <c r="C37" s="1"/>
      <c r="D37" s="2"/>
      <c r="E37" s="3"/>
      <c r="F37" s="2"/>
      <c r="G37" s="34"/>
      <c r="H37" s="35"/>
      <c r="I37" s="35"/>
      <c r="J37" t="str">
        <f t="shared" si="1"/>
        <v>-</v>
      </c>
    </row>
    <row r="38" spans="1:10" x14ac:dyDescent="0.25">
      <c r="A38" s="5">
        <v>0.63194444444444464</v>
      </c>
      <c r="B38" t="str">
        <f t="shared" si="0"/>
        <v>-</v>
      </c>
      <c r="C38" s="1"/>
      <c r="D38" s="2"/>
      <c r="E38" s="3"/>
      <c r="F38" s="2"/>
      <c r="G38" s="34"/>
      <c r="H38" s="35"/>
      <c r="I38" s="35"/>
      <c r="J38" t="str">
        <f t="shared" si="1"/>
        <v>-</v>
      </c>
    </row>
    <row r="39" spans="1:10" x14ac:dyDescent="0.25">
      <c r="A39" s="5">
        <v>0.6493055555555558</v>
      </c>
      <c r="B39" t="str">
        <f t="shared" si="0"/>
        <v>-</v>
      </c>
      <c r="C39" s="1"/>
      <c r="D39" s="2"/>
      <c r="E39" s="3"/>
      <c r="F39" s="2"/>
      <c r="G39" s="34"/>
      <c r="H39" s="35"/>
      <c r="I39" s="35"/>
      <c r="J39" t="str">
        <f t="shared" si="1"/>
        <v>-</v>
      </c>
    </row>
  </sheetData>
  <mergeCells count="28">
    <mergeCell ref="G13:I13"/>
    <mergeCell ref="C1:K1"/>
    <mergeCell ref="G9:I9"/>
    <mergeCell ref="G10:I10"/>
    <mergeCell ref="G11:I11"/>
    <mergeCell ref="G12:I12"/>
    <mergeCell ref="G29:I29"/>
    <mergeCell ref="G14:I14"/>
    <mergeCell ref="G15:I15"/>
    <mergeCell ref="G16:I16"/>
    <mergeCell ref="G17:I17"/>
    <mergeCell ref="G18:I18"/>
    <mergeCell ref="G19:I19"/>
    <mergeCell ref="G20:I20"/>
    <mergeCell ref="G25:I25"/>
    <mergeCell ref="G26:I26"/>
    <mergeCell ref="G27:I27"/>
    <mergeCell ref="G28:I28"/>
    <mergeCell ref="G36:I36"/>
    <mergeCell ref="G37:I37"/>
    <mergeCell ref="G38:I38"/>
    <mergeCell ref="G39:I39"/>
    <mergeCell ref="G30:I30"/>
    <mergeCell ref="G31:I31"/>
    <mergeCell ref="G32:I32"/>
    <mergeCell ref="G33:I33"/>
    <mergeCell ref="G34:I34"/>
    <mergeCell ref="G35:I35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D64D6-745D-42B4-A0AA-A033F31448FD}">
  <dimension ref="A1:G24"/>
  <sheetViews>
    <sheetView workbookViewId="0">
      <selection activeCell="R8" sqref="R8"/>
    </sheetView>
  </sheetViews>
  <sheetFormatPr defaultRowHeight="15" x14ac:dyDescent="0.25"/>
  <cols>
    <col min="3" max="3" width="24.7109375" style="4" bestFit="1" customWidth="1"/>
    <col min="7" max="7" width="16" style="4" bestFit="1" customWidth="1"/>
  </cols>
  <sheetData>
    <row r="1" spans="1:7" x14ac:dyDescent="0.25">
      <c r="A1" s="5">
        <v>0.42708333333333331</v>
      </c>
      <c r="B1" s="5"/>
      <c r="C1" s="22" t="s">
        <v>17</v>
      </c>
      <c r="D1" s="9">
        <v>7</v>
      </c>
      <c r="E1" s="10" t="s">
        <v>35</v>
      </c>
      <c r="F1" s="9">
        <v>0</v>
      </c>
      <c r="G1" s="24" t="s">
        <v>20</v>
      </c>
    </row>
    <row r="2" spans="1:7" x14ac:dyDescent="0.25">
      <c r="A2" s="5">
        <v>0.44791666666666669</v>
      </c>
      <c r="B2" s="5"/>
      <c r="C2" s="22" t="s">
        <v>16</v>
      </c>
      <c r="D2" s="9"/>
      <c r="E2" s="10" t="s">
        <v>37</v>
      </c>
      <c r="F2" s="9"/>
      <c r="G2" s="24" t="s">
        <v>23</v>
      </c>
    </row>
    <row r="3" spans="1:7" x14ac:dyDescent="0.25">
      <c r="A3" s="5">
        <v>0.46875</v>
      </c>
      <c r="B3" s="5"/>
      <c r="C3" s="23" t="s">
        <v>25</v>
      </c>
      <c r="D3" s="9"/>
      <c r="E3" s="10" t="s">
        <v>39</v>
      </c>
      <c r="F3" s="9"/>
      <c r="G3" s="22" t="s">
        <v>18</v>
      </c>
    </row>
    <row r="4" spans="1:7" x14ac:dyDescent="0.25">
      <c r="A4" s="5">
        <v>0.48958333333333331</v>
      </c>
      <c r="B4" s="5"/>
      <c r="C4" s="23" t="s">
        <v>30</v>
      </c>
      <c r="D4" s="9"/>
      <c r="E4" s="10" t="s">
        <v>40</v>
      </c>
      <c r="F4" s="9"/>
      <c r="G4" s="4" t="s">
        <v>21</v>
      </c>
    </row>
    <row r="5" spans="1:7" s="43" customFormat="1" x14ac:dyDescent="0.25">
      <c r="A5" s="38"/>
      <c r="B5" s="38"/>
      <c r="C5" s="39"/>
      <c r="D5" s="40"/>
      <c r="E5" s="41"/>
      <c r="F5" s="40"/>
      <c r="G5" s="42"/>
    </row>
    <row r="6" spans="1:7" x14ac:dyDescent="0.25">
      <c r="A6" s="5">
        <v>0.42708333333333331</v>
      </c>
      <c r="B6" s="5"/>
      <c r="C6" s="22" t="s">
        <v>29</v>
      </c>
      <c r="D6" s="9">
        <v>7</v>
      </c>
      <c r="E6" s="10" t="s">
        <v>36</v>
      </c>
      <c r="F6" s="9">
        <v>0</v>
      </c>
      <c r="G6" s="24" t="s">
        <v>15</v>
      </c>
    </row>
    <row r="7" spans="1:7" x14ac:dyDescent="0.25">
      <c r="A7" s="5">
        <v>0.44791666666666669</v>
      </c>
      <c r="B7" s="5"/>
      <c r="C7" s="22" t="s">
        <v>24</v>
      </c>
      <c r="D7" s="9"/>
      <c r="E7" s="10" t="s">
        <v>38</v>
      </c>
      <c r="F7" s="9"/>
      <c r="G7" s="24" t="s">
        <v>27</v>
      </c>
    </row>
    <row r="8" spans="1:7" x14ac:dyDescent="0.25">
      <c r="A8" s="5">
        <v>0.46875</v>
      </c>
      <c r="B8" s="5"/>
      <c r="C8" s="23" t="s">
        <v>1</v>
      </c>
      <c r="D8" s="9"/>
      <c r="E8" s="10" t="s">
        <v>42</v>
      </c>
      <c r="F8" s="9"/>
      <c r="G8" s="22" t="s">
        <v>26</v>
      </c>
    </row>
    <row r="9" spans="1:7" x14ac:dyDescent="0.25">
      <c r="A9" s="5">
        <v>0.48958333333333331</v>
      </c>
      <c r="B9" s="5"/>
      <c r="C9" s="23" t="s">
        <v>28</v>
      </c>
      <c r="D9" s="9"/>
      <c r="E9" s="10" t="s">
        <v>43</v>
      </c>
      <c r="F9" s="9"/>
      <c r="G9" s="22" t="s">
        <v>13</v>
      </c>
    </row>
    <row r="10" spans="1:7" x14ac:dyDescent="0.25">
      <c r="A10" s="5"/>
      <c r="B10" s="5"/>
    </row>
    <row r="11" spans="1:7" x14ac:dyDescent="0.25">
      <c r="A11" s="5">
        <v>0.60416666666666663</v>
      </c>
      <c r="B11" s="5"/>
      <c r="C11" s="22" t="s">
        <v>17</v>
      </c>
      <c r="D11" s="9"/>
      <c r="E11" s="10" t="s">
        <v>45</v>
      </c>
      <c r="F11" s="9"/>
      <c r="G11" s="4" t="s">
        <v>88</v>
      </c>
    </row>
    <row r="12" spans="1:7" x14ac:dyDescent="0.25">
      <c r="A12" s="5">
        <v>0.625</v>
      </c>
      <c r="B12" s="5"/>
      <c r="C12" s="4" t="s">
        <v>41</v>
      </c>
      <c r="D12" s="9"/>
      <c r="E12" s="10" t="s">
        <v>46</v>
      </c>
      <c r="F12" s="9"/>
      <c r="G12" s="4" t="s">
        <v>89</v>
      </c>
    </row>
    <row r="13" spans="1:7" x14ac:dyDescent="0.25">
      <c r="A13" s="5"/>
      <c r="B13" s="5"/>
      <c r="D13" s="9"/>
      <c r="E13" s="10"/>
      <c r="F13" s="9"/>
    </row>
    <row r="14" spans="1:7" x14ac:dyDescent="0.25">
      <c r="A14" s="5">
        <v>0.60416666666666663</v>
      </c>
      <c r="B14" s="5"/>
      <c r="C14" s="22" t="s">
        <v>29</v>
      </c>
      <c r="D14" s="9"/>
      <c r="E14" s="10" t="s">
        <v>47</v>
      </c>
      <c r="F14" s="9"/>
      <c r="G14" s="4" t="s">
        <v>90</v>
      </c>
    </row>
    <row r="15" spans="1:7" x14ac:dyDescent="0.25">
      <c r="A15" s="5">
        <v>0.625</v>
      </c>
      <c r="B15" s="5"/>
      <c r="C15" s="4" t="s">
        <v>44</v>
      </c>
      <c r="D15" s="9"/>
      <c r="E15" s="10" t="s">
        <v>48</v>
      </c>
      <c r="F15" s="9"/>
      <c r="G15" s="4" t="s">
        <v>91</v>
      </c>
    </row>
    <row r="16" spans="1:7" x14ac:dyDescent="0.25">
      <c r="A16" s="5"/>
      <c r="B16" s="5"/>
      <c r="D16" s="9"/>
      <c r="E16" s="10"/>
      <c r="F16" s="9"/>
      <c r="G16" s="44"/>
    </row>
    <row r="17" spans="1:7" x14ac:dyDescent="0.25">
      <c r="A17" s="5">
        <v>0.66319444444444442</v>
      </c>
      <c r="B17" s="5"/>
      <c r="C17" s="4" t="s">
        <v>84</v>
      </c>
      <c r="D17" s="9"/>
      <c r="E17" s="10" t="s">
        <v>82</v>
      </c>
      <c r="F17" s="9"/>
      <c r="G17" s="4" t="s">
        <v>86</v>
      </c>
    </row>
    <row r="18" spans="1:7" x14ac:dyDescent="0.25">
      <c r="A18" s="5">
        <v>0.66319444444444442</v>
      </c>
      <c r="B18" s="5"/>
      <c r="C18" s="4" t="s">
        <v>85</v>
      </c>
      <c r="D18" s="9"/>
      <c r="E18" s="10" t="s">
        <v>83</v>
      </c>
      <c r="F18" s="9"/>
      <c r="G18" s="4" t="s">
        <v>87</v>
      </c>
    </row>
    <row r="20" spans="1:7" x14ac:dyDescent="0.25">
      <c r="A20" s="5">
        <v>0.70138888888888884</v>
      </c>
      <c r="B20" s="5"/>
      <c r="D20" s="9"/>
      <c r="E20" s="10" t="s">
        <v>80</v>
      </c>
      <c r="F20" s="9"/>
    </row>
    <row r="21" spans="1:7" x14ac:dyDescent="0.25">
      <c r="A21" s="5">
        <v>0.74652777777777779</v>
      </c>
      <c r="B21" s="5"/>
      <c r="D21" s="9"/>
      <c r="E21" s="10" t="s">
        <v>81</v>
      </c>
      <c r="F21" s="9"/>
    </row>
    <row r="22" spans="1:7" x14ac:dyDescent="0.25">
      <c r="A22" s="25"/>
    </row>
    <row r="24" spans="1:7" x14ac:dyDescent="0.25">
      <c r="E24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6</vt:i4>
      </vt:variant>
    </vt:vector>
  </HeadingPairs>
  <TitlesOfParts>
    <vt:vector size="6" baseType="lpstr">
      <vt:lpstr>Resultados</vt:lpstr>
      <vt:lpstr>U13_A</vt:lpstr>
      <vt:lpstr>U13_B</vt:lpstr>
      <vt:lpstr>U13_C</vt:lpstr>
      <vt:lpstr>U13_D</vt:lpstr>
      <vt:lpstr>Fase 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SCCourense</cp:lastModifiedBy>
  <dcterms:created xsi:type="dcterms:W3CDTF">2023-06-08T09:49:04Z</dcterms:created>
  <dcterms:modified xsi:type="dcterms:W3CDTF">2023-06-18T09:56:49Z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37b980ce-1bc7-40ec-bc3f-0d2e71b856bd</vt:lpwstr>
  </property>
</Properties>
</file>