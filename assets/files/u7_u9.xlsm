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Vlopes\Desktop\Nova pasta (4)\Nova pasta\Coura Cup 23\"/>
    </mc:Choice>
  </mc:AlternateContent>
  <xr:revisionPtr revIDLastSave="0" documentId="13_ncr:1_{D775EB8A-D7E2-477B-BE4B-349836389AA6}" xr6:coauthVersionLast="47" xr6:coauthVersionMax="47" xr10:uidLastSave="{00000000-0000-0000-0000-000000000000}"/>
  <bookViews>
    <workbookView xWindow="-120" yWindow="-120" windowWidth="20730" windowHeight="11160" activeTab="1" xr2:uid="{99A3C150-6DD2-4D75-95E2-E9011C0E7D7A}"/>
  </bookViews>
  <sheets>
    <sheet name="Pag Ini" sheetId="1" r:id="rId1"/>
    <sheet name="U7_GA" sheetId="2" r:id="rId2"/>
    <sheet name="U7_GB" sheetId="5" r:id="rId3"/>
    <sheet name="U9_GA" sheetId="4" r:id="rId4"/>
    <sheet name="U9_GB" sheetId="6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K20" i="1"/>
  <c r="Q20" i="1"/>
  <c r="K21" i="1"/>
  <c r="K22" i="1"/>
  <c r="R22" i="1"/>
  <c r="K23" i="1"/>
  <c r="N23" i="1"/>
  <c r="O23" i="1"/>
  <c r="P23" i="1"/>
  <c r="Q23" i="1"/>
  <c r="R23" i="1"/>
  <c r="K24" i="1"/>
  <c r="Q18" i="1"/>
  <c r="K18" i="1"/>
  <c r="K6" i="1"/>
  <c r="K7" i="1"/>
  <c r="K8" i="1"/>
  <c r="K9" i="1"/>
  <c r="N9" i="1"/>
  <c r="O9" i="1"/>
  <c r="P9" i="1"/>
  <c r="Q9" i="1"/>
  <c r="R9" i="1"/>
  <c r="K10" i="1"/>
  <c r="K11" i="1"/>
  <c r="K5" i="1"/>
  <c r="J32" i="6"/>
  <c r="B32" i="6"/>
  <c r="A32" i="6"/>
  <c r="J31" i="6"/>
  <c r="B31" i="6"/>
  <c r="A31" i="6"/>
  <c r="J30" i="6"/>
  <c r="B30" i="6"/>
  <c r="A30" i="6"/>
  <c r="J29" i="6"/>
  <c r="B29" i="6"/>
  <c r="A29" i="6"/>
  <c r="J28" i="6"/>
  <c r="B28" i="6"/>
  <c r="A28" i="6"/>
  <c r="J27" i="6"/>
  <c r="B27" i="6"/>
  <c r="A27" i="6"/>
  <c r="J26" i="6"/>
  <c r="B26" i="6"/>
  <c r="A26" i="6"/>
  <c r="J25" i="6"/>
  <c r="B25" i="6"/>
  <c r="A25" i="6"/>
  <c r="J24" i="6"/>
  <c r="B24" i="6"/>
  <c r="H4" i="6" s="1"/>
  <c r="P20" i="1" s="1"/>
  <c r="A24" i="6"/>
  <c r="J23" i="6"/>
  <c r="B23" i="6"/>
  <c r="H8" i="6" s="1"/>
  <c r="A23" i="6"/>
  <c r="J22" i="6"/>
  <c r="F9" i="6" s="1"/>
  <c r="B22" i="6"/>
  <c r="A22" i="6"/>
  <c r="J21" i="6"/>
  <c r="G7" i="6" s="1"/>
  <c r="O22" i="1" s="1"/>
  <c r="B21" i="6"/>
  <c r="A21" i="6"/>
  <c r="J20" i="6"/>
  <c r="B20" i="6"/>
  <c r="A20" i="6"/>
  <c r="J19" i="6"/>
  <c r="B19" i="6"/>
  <c r="A19" i="6"/>
  <c r="J18" i="6"/>
  <c r="B18" i="6"/>
  <c r="A18" i="6"/>
  <c r="J17" i="6"/>
  <c r="B17" i="6"/>
  <c r="G5" i="6" s="1"/>
  <c r="O21" i="1" s="1"/>
  <c r="A17" i="6"/>
  <c r="J16" i="6"/>
  <c r="B16" i="6"/>
  <c r="A16" i="6"/>
  <c r="J15" i="6"/>
  <c r="B15" i="6"/>
  <c r="F6" i="6" s="1"/>
  <c r="N19" i="1" s="1"/>
  <c r="A15" i="6"/>
  <c r="J14" i="6"/>
  <c r="B14" i="6"/>
  <c r="A14" i="6"/>
  <c r="J13" i="6"/>
  <c r="B13" i="6"/>
  <c r="G9" i="6" s="1"/>
  <c r="O24" i="1" s="1"/>
  <c r="A13" i="6"/>
  <c r="J12" i="6"/>
  <c r="B12" i="6"/>
  <c r="H3" i="6" s="1"/>
  <c r="P18" i="1" s="1"/>
  <c r="A12" i="6"/>
  <c r="J3" i="6"/>
  <c r="R18" i="1" s="1"/>
  <c r="I3" i="6"/>
  <c r="K3" i="6" s="1"/>
  <c r="S18" i="1" s="1"/>
  <c r="J9" i="6"/>
  <c r="R24" i="1" s="1"/>
  <c r="I9" i="6"/>
  <c r="H9" i="6"/>
  <c r="P24" i="1" s="1"/>
  <c r="K8" i="6"/>
  <c r="S23" i="1" s="1"/>
  <c r="J8" i="6"/>
  <c r="I8" i="6"/>
  <c r="F8" i="6"/>
  <c r="J7" i="6"/>
  <c r="I7" i="6"/>
  <c r="Q22" i="1" s="1"/>
  <c r="F7" i="6"/>
  <c r="N22" i="1" s="1"/>
  <c r="J5" i="6"/>
  <c r="R21" i="1" s="1"/>
  <c r="I5" i="6"/>
  <c r="Q21" i="1" s="1"/>
  <c r="F5" i="6"/>
  <c r="N21" i="1" s="1"/>
  <c r="J4" i="6"/>
  <c r="R20" i="1" s="1"/>
  <c r="I4" i="6"/>
  <c r="K4" i="6" s="1"/>
  <c r="F4" i="6"/>
  <c r="N20" i="1" s="1"/>
  <c r="J6" i="6"/>
  <c r="I6" i="6"/>
  <c r="Q19" i="1" s="1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K7" i="6" l="1"/>
  <c r="S22" i="1" s="1"/>
  <c r="K5" i="6"/>
  <c r="S21" i="1" s="1"/>
  <c r="S20" i="1"/>
  <c r="E9" i="6"/>
  <c r="M24" i="1" s="1"/>
  <c r="K9" i="6"/>
  <c r="S24" i="1" s="1"/>
  <c r="Q24" i="1"/>
  <c r="N24" i="1"/>
  <c r="K6" i="6"/>
  <c r="S19" i="1" s="1"/>
  <c r="R19" i="1"/>
  <c r="H5" i="6"/>
  <c r="D5" i="6"/>
  <c r="G3" i="6"/>
  <c r="O18" i="1" s="1"/>
  <c r="G4" i="6"/>
  <c r="O20" i="1" s="1"/>
  <c r="H7" i="6"/>
  <c r="H6" i="6"/>
  <c r="P19" i="1" s="1"/>
  <c r="F3" i="6"/>
  <c r="D7" i="6"/>
  <c r="L22" i="1" s="1"/>
  <c r="G6" i="6"/>
  <c r="O19" i="1" s="1"/>
  <c r="D9" i="6"/>
  <c r="L24" i="1" s="1"/>
  <c r="G8" i="6"/>
  <c r="E8" i="6" s="1"/>
  <c r="M23" i="1" s="1"/>
  <c r="L21" i="1" l="1"/>
  <c r="E7" i="6"/>
  <c r="M22" i="1" s="1"/>
  <c r="P22" i="1"/>
  <c r="E5" i="6"/>
  <c r="P21" i="1"/>
  <c r="E4" i="6"/>
  <c r="M20" i="1" s="1"/>
  <c r="D4" i="6"/>
  <c r="L20" i="1" s="1"/>
  <c r="D3" i="6"/>
  <c r="L18" i="1" s="1"/>
  <c r="N18" i="1"/>
  <c r="E6" i="6"/>
  <c r="E3" i="6"/>
  <c r="M18" i="1" s="1"/>
  <c r="D8" i="6"/>
  <c r="L23" i="1" s="1"/>
  <c r="D6" i="6"/>
  <c r="M21" i="1" l="1"/>
  <c r="L19" i="1"/>
  <c r="M19" i="1"/>
  <c r="J32" i="5" l="1"/>
  <c r="J31" i="5"/>
  <c r="J30" i="5"/>
  <c r="J29" i="5"/>
  <c r="J28" i="5"/>
  <c r="J27" i="5"/>
  <c r="G6" i="5" s="1"/>
  <c r="O11" i="1" s="1"/>
  <c r="J26" i="5"/>
  <c r="J25" i="5"/>
  <c r="J24" i="5"/>
  <c r="H9" i="5" s="1"/>
  <c r="P10" i="1" s="1"/>
  <c r="J23" i="5"/>
  <c r="J22" i="5"/>
  <c r="J21" i="5"/>
  <c r="J20" i="5"/>
  <c r="J19" i="5"/>
  <c r="H8" i="5" s="1"/>
  <c r="J18" i="5"/>
  <c r="J17" i="5"/>
  <c r="F5" i="5" s="1"/>
  <c r="N8" i="1" s="1"/>
  <c r="J16" i="5"/>
  <c r="J15" i="5"/>
  <c r="J14" i="5"/>
  <c r="J13" i="5"/>
  <c r="J12" i="5"/>
  <c r="F7" i="5" s="1"/>
  <c r="N5" i="1" s="1"/>
  <c r="J6" i="5"/>
  <c r="R11" i="1" s="1"/>
  <c r="I6" i="5"/>
  <c r="Q11" i="1" s="1"/>
  <c r="J9" i="5"/>
  <c r="R10" i="1" s="1"/>
  <c r="I9" i="5"/>
  <c r="Q10" i="1" s="1"/>
  <c r="J8" i="5"/>
  <c r="I8" i="5"/>
  <c r="K8" i="5" s="1"/>
  <c r="J5" i="5"/>
  <c r="R8" i="1" s="1"/>
  <c r="I5" i="5"/>
  <c r="Q8" i="1" s="1"/>
  <c r="H5" i="5"/>
  <c r="P8" i="1" s="1"/>
  <c r="G5" i="5"/>
  <c r="O8" i="1" s="1"/>
  <c r="J7" i="5"/>
  <c r="R5" i="1" s="1"/>
  <c r="I7" i="5"/>
  <c r="Q5" i="1" s="1"/>
  <c r="J4" i="5"/>
  <c r="I4" i="5"/>
  <c r="Q7" i="1" s="1"/>
  <c r="H4" i="5"/>
  <c r="P7" i="1" s="1"/>
  <c r="F4" i="5"/>
  <c r="N7" i="1" s="1"/>
  <c r="J3" i="5"/>
  <c r="R6" i="1" s="1"/>
  <c r="I3" i="5"/>
  <c r="Q6" i="1" s="1"/>
  <c r="H3" i="5"/>
  <c r="P6" i="1" s="1"/>
  <c r="G3" i="5"/>
  <c r="O6" i="1" s="1"/>
  <c r="F3" i="5"/>
  <c r="N6" i="1" s="1"/>
  <c r="A18" i="1"/>
  <c r="A19" i="1"/>
  <c r="A20" i="1"/>
  <c r="A21" i="1"/>
  <c r="A22" i="1"/>
  <c r="A23" i="1"/>
  <c r="A24" i="1"/>
  <c r="J7" i="4"/>
  <c r="I7" i="4"/>
  <c r="J3" i="4"/>
  <c r="I3" i="4"/>
  <c r="J8" i="4"/>
  <c r="I8" i="4"/>
  <c r="J4" i="4"/>
  <c r="J6" i="4"/>
  <c r="H18" i="1" s="1"/>
  <c r="I9" i="4"/>
  <c r="J9" i="4"/>
  <c r="J5" i="4"/>
  <c r="H24" i="1" s="1"/>
  <c r="I5" i="4"/>
  <c r="G24" i="1" s="1"/>
  <c r="I4" i="4"/>
  <c r="G21" i="1" s="1"/>
  <c r="J32" i="4"/>
  <c r="B32" i="4"/>
  <c r="J31" i="4"/>
  <c r="B31" i="4"/>
  <c r="J30" i="4"/>
  <c r="B30" i="4"/>
  <c r="J29" i="4"/>
  <c r="B29" i="4"/>
  <c r="J28" i="4"/>
  <c r="B28" i="4"/>
  <c r="J27" i="4"/>
  <c r="B27" i="4"/>
  <c r="J26" i="4"/>
  <c r="B26" i="4"/>
  <c r="J25" i="4"/>
  <c r="B25" i="4"/>
  <c r="J24" i="4"/>
  <c r="B24" i="4"/>
  <c r="F7" i="4" s="1"/>
  <c r="J23" i="4"/>
  <c r="B23" i="4"/>
  <c r="J22" i="4"/>
  <c r="B22" i="4"/>
  <c r="J21" i="4"/>
  <c r="B21" i="4"/>
  <c r="J20" i="4"/>
  <c r="B20" i="4"/>
  <c r="J19" i="4"/>
  <c r="B19" i="4"/>
  <c r="G9" i="4" s="1"/>
  <c r="J18" i="4"/>
  <c r="B18" i="4"/>
  <c r="J17" i="4"/>
  <c r="B17" i="4"/>
  <c r="J16" i="4"/>
  <c r="B16" i="4"/>
  <c r="J15" i="4"/>
  <c r="B15" i="4"/>
  <c r="G6" i="4" s="1"/>
  <c r="J14" i="4"/>
  <c r="B14" i="4"/>
  <c r="J13" i="4"/>
  <c r="G7" i="4" s="1"/>
  <c r="B13" i="4"/>
  <c r="H3" i="4" s="1"/>
  <c r="J12" i="4"/>
  <c r="B12" i="4"/>
  <c r="I6" i="4"/>
  <c r="I6" i="2"/>
  <c r="I3" i="2"/>
  <c r="J14" i="2"/>
  <c r="H23" i="1" l="1"/>
  <c r="G23" i="1"/>
  <c r="H21" i="1"/>
  <c r="H20" i="1"/>
  <c r="G22" i="1"/>
  <c r="G20" i="1"/>
  <c r="H22" i="1"/>
  <c r="K4" i="5"/>
  <c r="R7" i="1"/>
  <c r="G19" i="1"/>
  <c r="H19" i="1"/>
  <c r="G18" i="1"/>
  <c r="G7" i="5"/>
  <c r="O5" i="1" s="1"/>
  <c r="F8" i="4"/>
  <c r="D22" i="1" s="1"/>
  <c r="F9" i="5"/>
  <c r="N10" i="1" s="1"/>
  <c r="H7" i="5"/>
  <c r="K3" i="5"/>
  <c r="G4" i="5"/>
  <c r="K6" i="5"/>
  <c r="S11" i="1" s="1"/>
  <c r="K5" i="5"/>
  <c r="K9" i="5"/>
  <c r="S10" i="1" s="1"/>
  <c r="F6" i="5"/>
  <c r="H6" i="5"/>
  <c r="F8" i="5"/>
  <c r="D8" i="5" s="1"/>
  <c r="G8" i="5"/>
  <c r="K7" i="5"/>
  <c r="E5" i="5"/>
  <c r="E3" i="5"/>
  <c r="G9" i="5"/>
  <c r="O10" i="1" s="1"/>
  <c r="D3" i="5"/>
  <c r="D5" i="5"/>
  <c r="G4" i="4"/>
  <c r="E21" i="1" s="1"/>
  <c r="H7" i="4"/>
  <c r="H4" i="4"/>
  <c r="F20" i="1" s="1"/>
  <c r="F4" i="4"/>
  <c r="D21" i="1" s="1"/>
  <c r="F3" i="4"/>
  <c r="F6" i="4"/>
  <c r="H8" i="4"/>
  <c r="F5" i="4"/>
  <c r="D24" i="1" s="1"/>
  <c r="H9" i="4"/>
  <c r="G3" i="4"/>
  <c r="E19" i="1" s="1"/>
  <c r="G8" i="4"/>
  <c r="E22" i="1" s="1"/>
  <c r="F9" i="4"/>
  <c r="H5" i="4"/>
  <c r="F24" i="1" s="1"/>
  <c r="G5" i="4"/>
  <c r="E24" i="1" s="1"/>
  <c r="H6" i="4"/>
  <c r="K8" i="4"/>
  <c r="K7" i="4"/>
  <c r="K6" i="4"/>
  <c r="D7" i="4"/>
  <c r="K5" i="4"/>
  <c r="K4" i="4"/>
  <c r="K9" i="4"/>
  <c r="K3" i="4"/>
  <c r="A6" i="1"/>
  <c r="A7" i="1"/>
  <c r="A8" i="1"/>
  <c r="A9" i="1"/>
  <c r="A10" i="1"/>
  <c r="A11" i="1"/>
  <c r="A5" i="1"/>
  <c r="J5" i="2"/>
  <c r="J6" i="2"/>
  <c r="J3" i="2"/>
  <c r="J4" i="2"/>
  <c r="J7" i="2"/>
  <c r="J9" i="2"/>
  <c r="J8" i="2"/>
  <c r="I4" i="2"/>
  <c r="I7" i="2"/>
  <c r="I9" i="2"/>
  <c r="I8" i="2"/>
  <c r="I5" i="2"/>
  <c r="J13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12" i="2"/>
  <c r="L8" i="1" l="1"/>
  <c r="S8" i="1"/>
  <c r="S5" i="1"/>
  <c r="S9" i="1"/>
  <c r="D23" i="1"/>
  <c r="F21" i="1"/>
  <c r="E23" i="1"/>
  <c r="F23" i="1"/>
  <c r="E6" i="5"/>
  <c r="M11" i="1" s="1"/>
  <c r="P11" i="1"/>
  <c r="D6" i="5"/>
  <c r="N11" i="1"/>
  <c r="S6" i="1"/>
  <c r="S7" i="1"/>
  <c r="D20" i="1"/>
  <c r="E20" i="1"/>
  <c r="F22" i="1"/>
  <c r="F18" i="1"/>
  <c r="E4" i="5"/>
  <c r="M7" i="1" s="1"/>
  <c r="O7" i="1"/>
  <c r="D19" i="1"/>
  <c r="F19" i="1"/>
  <c r="D18" i="1"/>
  <c r="E18" i="1"/>
  <c r="E7" i="5"/>
  <c r="M5" i="1" s="1"/>
  <c r="P5" i="1"/>
  <c r="D7" i="5"/>
  <c r="L5" i="1" s="1"/>
  <c r="I18" i="1"/>
  <c r="I21" i="1"/>
  <c r="I23" i="1"/>
  <c r="I20" i="1"/>
  <c r="I24" i="1"/>
  <c r="I22" i="1"/>
  <c r="I19" i="1"/>
  <c r="D9" i="5"/>
  <c r="L10" i="1" s="1"/>
  <c r="D4" i="5"/>
  <c r="L6" i="1" s="1"/>
  <c r="E8" i="5"/>
  <c r="E9" i="5"/>
  <c r="M10" i="1" s="1"/>
  <c r="D3" i="4"/>
  <c r="G11" i="1"/>
  <c r="E4" i="4"/>
  <c r="D6" i="4"/>
  <c r="E5" i="4"/>
  <c r="E7" i="4"/>
  <c r="D4" i="4"/>
  <c r="E6" i="4"/>
  <c r="E9" i="4"/>
  <c r="E3" i="4"/>
  <c r="D8" i="4"/>
  <c r="B22" i="1" s="1"/>
  <c r="E8" i="4"/>
  <c r="D9" i="4"/>
  <c r="D5" i="4"/>
  <c r="G9" i="1"/>
  <c r="G3" i="2"/>
  <c r="F3" i="2"/>
  <c r="H9" i="1"/>
  <c r="H11" i="1"/>
  <c r="H10" i="1"/>
  <c r="G10" i="1"/>
  <c r="H5" i="1"/>
  <c r="H7" i="1"/>
  <c r="H8" i="1"/>
  <c r="G8" i="1"/>
  <c r="G7" i="1"/>
  <c r="G6" i="1"/>
  <c r="F6" i="2"/>
  <c r="H6" i="1"/>
  <c r="G5" i="1"/>
  <c r="G6" i="2"/>
  <c r="H5" i="2"/>
  <c r="H8" i="2"/>
  <c r="K5" i="2"/>
  <c r="G7" i="2"/>
  <c r="F9" i="2"/>
  <c r="F4" i="2"/>
  <c r="H6" i="2"/>
  <c r="H7" i="2"/>
  <c r="G4" i="2"/>
  <c r="H4" i="2"/>
  <c r="F8" i="2"/>
  <c r="G8" i="2"/>
  <c r="H3" i="2"/>
  <c r="F7" i="2"/>
  <c r="G9" i="2"/>
  <c r="H9" i="2"/>
  <c r="G5" i="2"/>
  <c r="F5" i="2"/>
  <c r="K8" i="2"/>
  <c r="K7" i="2"/>
  <c r="K3" i="2"/>
  <c r="K9" i="2"/>
  <c r="M9" i="1" l="1"/>
  <c r="M8" i="1"/>
  <c r="L11" i="1"/>
  <c r="L9" i="1"/>
  <c r="M6" i="1"/>
  <c r="L7" i="1"/>
  <c r="B20" i="1"/>
  <c r="C22" i="1"/>
  <c r="B24" i="1"/>
  <c r="C18" i="1"/>
  <c r="C21" i="1"/>
  <c r="C24" i="1"/>
  <c r="B18" i="1"/>
  <c r="B23" i="1"/>
  <c r="B21" i="1"/>
  <c r="B19" i="1"/>
  <c r="C19" i="1"/>
  <c r="C20" i="1"/>
  <c r="C23" i="1"/>
  <c r="D4" i="2"/>
  <c r="E4" i="2"/>
  <c r="F11" i="1"/>
  <c r="D10" i="1"/>
  <c r="E9" i="1"/>
  <c r="F9" i="1"/>
  <c r="D11" i="1"/>
  <c r="D9" i="1"/>
  <c r="F10" i="1"/>
  <c r="E10" i="1"/>
  <c r="E8" i="1"/>
  <c r="F8" i="1"/>
  <c r="D8" i="1"/>
  <c r="E7" i="1"/>
  <c r="D7" i="1"/>
  <c r="F7" i="1"/>
  <c r="F6" i="1"/>
  <c r="F5" i="1"/>
  <c r="D6" i="1"/>
  <c r="D5" i="1"/>
  <c r="D6" i="2"/>
  <c r="E11" i="1"/>
  <c r="E6" i="1"/>
  <c r="E5" i="1"/>
  <c r="D7" i="2"/>
  <c r="D9" i="2"/>
  <c r="E8" i="2"/>
  <c r="E3" i="2"/>
  <c r="D3" i="2"/>
  <c r="E6" i="2"/>
  <c r="E7" i="2"/>
  <c r="D8" i="2"/>
  <c r="D5" i="2"/>
  <c r="E9" i="2"/>
  <c r="E5" i="2"/>
  <c r="B10" i="1" l="1"/>
  <c r="B7" i="1"/>
  <c r="C10" i="1"/>
  <c r="B5" i="1"/>
  <c r="C5" i="1"/>
  <c r="C7" i="1"/>
  <c r="C9" i="1"/>
  <c r="C8" i="1"/>
  <c r="B9" i="1"/>
  <c r="B8" i="1"/>
  <c r="B6" i="1"/>
  <c r="B11" i="1"/>
  <c r="C6" i="1"/>
  <c r="C11" i="1"/>
  <c r="K6" i="2"/>
  <c r="K4" i="2"/>
  <c r="I5" i="1" s="1"/>
  <c r="I8" i="1" l="1"/>
  <c r="I9" i="1"/>
  <c r="I10" i="1"/>
  <c r="I7" i="1"/>
  <c r="I6" i="1"/>
  <c r="I11" i="1"/>
</calcChain>
</file>

<file path=xl/sharedStrings.xml><?xml version="1.0" encoding="utf-8"?>
<sst xmlns="http://schemas.openxmlformats.org/spreadsheetml/2006/main" count="362" uniqueCount="35">
  <si>
    <t>S.C Courense</t>
  </si>
  <si>
    <t>União Desportiva São Verissimo</t>
  </si>
  <si>
    <t>FC Porto</t>
  </si>
  <si>
    <t>SC Braga</t>
  </si>
  <si>
    <t>Clube Caçadores Os Torreenses</t>
  </si>
  <si>
    <t>“Os Afonsinhos - Didaxis”</t>
  </si>
  <si>
    <t xml:space="preserve">Celta Academy Braga </t>
  </si>
  <si>
    <t>x</t>
  </si>
  <si>
    <t>V</t>
  </si>
  <si>
    <t>E</t>
  </si>
  <si>
    <t>D</t>
  </si>
  <si>
    <t>J</t>
  </si>
  <si>
    <t>GM</t>
  </si>
  <si>
    <t>GS</t>
  </si>
  <si>
    <t>DIFG</t>
  </si>
  <si>
    <t>Pontos</t>
  </si>
  <si>
    <t>Equipa</t>
  </si>
  <si>
    <t>Grupo 1</t>
  </si>
  <si>
    <t>Desportivo de Monção</t>
  </si>
  <si>
    <t>FC Marinhas</t>
  </si>
  <si>
    <t>FC Famalicão</t>
  </si>
  <si>
    <t>Academia Sporting Esmoriz</t>
  </si>
  <si>
    <t>AD Fafe</t>
  </si>
  <si>
    <t>Vitoria Sport Clube</t>
  </si>
  <si>
    <t>-</t>
  </si>
  <si>
    <t>Grupo 2</t>
  </si>
  <si>
    <t>PETIZES - U7</t>
  </si>
  <si>
    <t>TRAQUINAS - U9</t>
  </si>
  <si>
    <t>SC Valenciano</t>
  </si>
  <si>
    <t xml:space="preserve">Deportivo Coruña </t>
  </si>
  <si>
    <t>Academica de Coimbra</t>
  </si>
  <si>
    <t>Academia Sporting de Barcelos</t>
  </si>
  <si>
    <t>Os Cokinhas</t>
  </si>
  <si>
    <t>Grupo Desportivo de Porto D`Ave</t>
  </si>
  <si>
    <t>Fc Porto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</si>
</sst>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  <bgColor theme="8"/>
      </patternFill>
    </fill>
    <fill>
      <patternFill patternType="solid">
        <fgColor theme="8" tint="0.59999389629810485"/>
        <bgColor theme="8" tint="0.5999938962981048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7">
    <xf numFmtId="0" fontId="0" fillId="0" borderId="0" xfId="0"/>
    <xf numFmtId="0" fontId="3" fillId="0" borderId="2" xfId="0" applyFont="1" applyBorder="1" applyAlignment="1" applyProtection="1">
      <alignment horizontal="center" vertical="center"/>
      <protection hidden="1"/>
    </xf>
    <xf numFmtId="0" fontId="4" fillId="0" borderId="1" xfId="1" applyFont="1" applyFill="1" applyAlignment="1" applyProtection="1">
      <alignment horizontal="center" vertical="center"/>
      <protection locked="0"/>
    </xf>
    <xf numFmtId="0" fontId="4" fillId="0" borderId="1" xfId="1" applyFont="1" applyFill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4" borderId="5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1" fontId="3" fillId="0" borderId="3" xfId="0" applyNumberFormat="1" applyFont="1" applyBorder="1" applyAlignment="1" applyProtection="1">
      <alignment horizontal="center" vertical="center"/>
      <protection hidden="1"/>
    </xf>
    <xf numFmtId="11" fontId="3" fillId="0" borderId="0" xfId="0" applyNumberFormat="1" applyFont="1" applyAlignment="1" applyProtection="1">
      <alignment horizontal="center" vertical="center"/>
      <protection hidden="1"/>
    </xf>
    <xf numFmtId="20" fontId="0" fillId="0" borderId="0" xfId="0" applyNumberFormat="1"/>
    <xf numFmtId="0" fontId="3" fillId="0" borderId="0" xfId="0" applyFont="1" applyBorder="1" applyAlignment="1" applyProtection="1">
      <alignment horizontal="center" vertical="center"/>
      <protection hidden="1"/>
    </xf>
  </cellXfs>
  <cellStyles count="2">
    <cellStyle name="Cálculo" xfId="1" builtinId="22"/>
    <cellStyle name="Normal" xfId="0" builtinId="0"/>
  </cellStyles>
  <dxfs count="88"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</xdr:row>
          <xdr:rowOff>9526</xdr:rowOff>
        </xdr:from>
        <xdr:to>
          <xdr:col>13</xdr:col>
          <xdr:colOff>304800</xdr:colOff>
          <xdr:row>6</xdr:row>
          <xdr:rowOff>57151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1</xdr:row>
          <xdr:rowOff>123825</xdr:rowOff>
        </xdr:from>
        <xdr:to>
          <xdr:col>13</xdr:col>
          <xdr:colOff>85725</xdr:colOff>
          <xdr:row>4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2</xdr:row>
          <xdr:rowOff>47625</xdr:rowOff>
        </xdr:from>
        <xdr:to>
          <xdr:col>12</xdr:col>
          <xdr:colOff>1457325</xdr:colOff>
          <xdr:row>5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514350</xdr:colOff>
          <xdr:row>2</xdr:row>
          <xdr:rowOff>38100</xdr:rowOff>
        </xdr:from>
        <xdr:to>
          <xdr:col>12</xdr:col>
          <xdr:colOff>771525</xdr:colOff>
          <xdr:row>5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lopes\Documents\Coura%20Cup%202023.xlsx" TargetMode="External"/><Relationship Id="rId1" Type="http://schemas.openxmlformats.org/officeDocument/2006/relationships/externalLinkPath" Target="/Users/Vlopes/Documents/Coura%20Cup%20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quipas"/>
      <sheetName val="mail"/>
      <sheetName val="alimentação"/>
      <sheetName val="ET"/>
      <sheetName val="Grupos"/>
      <sheetName val="U7"/>
      <sheetName val="U9"/>
      <sheetName val="U10"/>
      <sheetName val="U11 (2)"/>
      <sheetName val="U11"/>
      <sheetName val="U13"/>
      <sheetName val="U15"/>
      <sheetName val="U17"/>
      <sheetName val="log"/>
      <sheetName val="U7_c"/>
      <sheetName val="U9_c"/>
      <sheetName val="U10_c"/>
      <sheetName val="U11_c"/>
      <sheetName val="_o"/>
      <sheetName val="U11_U13 "/>
      <sheetName val="U13_C"/>
      <sheetName val="U15_C"/>
      <sheetName val="Uc17_c"/>
      <sheetName val="Petizes (2)"/>
      <sheetName val="Traquinas (2)"/>
      <sheetName val="Iniciados"/>
      <sheetName val="Juvenis"/>
      <sheetName val="Folha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A3">
            <v>0.375</v>
          </cell>
        </row>
        <row r="4">
          <cell r="A4">
            <v>0.3888888888888889</v>
          </cell>
        </row>
        <row r="5">
          <cell r="A5">
            <v>0.40277777777777779</v>
          </cell>
        </row>
        <row r="6">
          <cell r="A6">
            <v>0.41666666666666669</v>
          </cell>
        </row>
        <row r="7">
          <cell r="A7">
            <v>0.43055555555555558</v>
          </cell>
        </row>
        <row r="8">
          <cell r="A8">
            <v>0.44444444444444448</v>
          </cell>
        </row>
        <row r="9">
          <cell r="A9">
            <v>0.45833333333333337</v>
          </cell>
        </row>
        <row r="10">
          <cell r="A10">
            <v>0.47222222222222227</v>
          </cell>
        </row>
        <row r="11">
          <cell r="A11">
            <v>0.48611111111111116</v>
          </cell>
        </row>
        <row r="12">
          <cell r="A12">
            <v>0.5</v>
          </cell>
        </row>
        <row r="13">
          <cell r="A13">
            <v>0.51388888888888884</v>
          </cell>
        </row>
        <row r="14">
          <cell r="A14">
            <v>0.52777777777777768</v>
          </cell>
        </row>
        <row r="15">
          <cell r="A15">
            <v>0.58333333333333337</v>
          </cell>
        </row>
        <row r="16">
          <cell r="A16">
            <v>0.59722222222222221</v>
          </cell>
        </row>
        <row r="17">
          <cell r="A17">
            <v>0.61111111111111105</v>
          </cell>
        </row>
        <row r="18">
          <cell r="A18">
            <v>0.62499999999999989</v>
          </cell>
        </row>
        <row r="19">
          <cell r="A19">
            <v>0.63888888888888873</v>
          </cell>
        </row>
        <row r="20">
          <cell r="A20">
            <v>0.65277777777777757</v>
          </cell>
        </row>
        <row r="21">
          <cell r="A21">
            <v>0.66666666666666641</v>
          </cell>
        </row>
        <row r="22">
          <cell r="A22">
            <v>0.68055555555555525</v>
          </cell>
        </row>
        <row r="23">
          <cell r="A23">
            <v>0.69444444444444409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5F08333-2BDB-497A-8F45-9BEBE6330FB5}" name="Tabela212" displayName="Tabela212" ref="A4:I11" totalsRowShown="0" headerRowDxfId="87" dataDxfId="86">
  <autoFilter ref="A4:I11" xr:uid="{75F08333-2BDB-497A-8F45-9BEBE6330FB5}"/>
  <sortState xmlns:xlrd2="http://schemas.microsoft.com/office/spreadsheetml/2017/richdata2" ref="A5:I11">
    <sortCondition descending="1" ref="B2:B9"/>
  </sortState>
  <tableColumns count="9">
    <tableColumn id="1" xr3:uid="{119DF991-BDF1-47A4-95F3-E9CFA98DA073}" name="Equipa" dataDxfId="85">
      <calculatedColumnFormula>U7_GA!C3</calculatedColumnFormula>
    </tableColumn>
    <tableColumn id="2" xr3:uid="{1A498D0B-B023-45A3-BA9E-89D3D6D823F8}" name="Pontos" dataDxfId="84">
      <calculatedColumnFormula>U7_GA!D3</calculatedColumnFormula>
    </tableColumn>
    <tableColumn id="3" xr3:uid="{659B9035-5ED6-4D9D-84E0-085E6794BE6F}" name="J" dataDxfId="83">
      <calculatedColumnFormula>U7_GA!E3</calculatedColumnFormula>
    </tableColumn>
    <tableColumn id="4" xr3:uid="{69787759-6BB2-4A6E-8B93-BA8C097513C7}" name="V" dataDxfId="82">
      <calculatedColumnFormula>U7_GA!F3</calculatedColumnFormula>
    </tableColumn>
    <tableColumn id="5" xr3:uid="{1B1E5D0B-6B66-4539-8A97-DE65C1D45ADD}" name="E" dataDxfId="81">
      <calculatedColumnFormula>U7_GA!G3</calculatedColumnFormula>
    </tableColumn>
    <tableColumn id="6" xr3:uid="{D1E7B568-2410-4D86-B268-3E5DBE15474B}" name="D" dataDxfId="80">
      <calculatedColumnFormula>U7_GA!H3</calculatedColumnFormula>
    </tableColumn>
    <tableColumn id="7" xr3:uid="{AB71D24F-255B-4B9B-B873-A0F8EB19F96F}" name="GM" dataDxfId="79">
      <calculatedColumnFormula>U7_GA!I3</calculatedColumnFormula>
    </tableColumn>
    <tableColumn id="8" xr3:uid="{DC2BF180-F1ED-4DF8-8B1C-C956342458E8}" name="GS" dataDxfId="78">
      <calculatedColumnFormula>U7_GA!J3</calculatedColumnFormula>
    </tableColumn>
    <tableColumn id="9" xr3:uid="{719EC826-906C-4766-B656-6A7F7B7D629C}" name="DIFG" dataDxfId="77">
      <calculatedColumnFormula>U7_GA!K3</calculatedColumnFormula>
    </tableColumn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65EFA04-A930-4400-93AC-41E9B86772F3}" name="Tabela27913" displayName="Tabela27913" ref="K4:S11" totalsRowShown="0" headerRowDxfId="76" dataDxfId="75">
  <autoFilter ref="K4:S11" xr:uid="{765EFA04-A930-4400-93AC-41E9B86772F3}"/>
  <sortState xmlns:xlrd2="http://schemas.microsoft.com/office/spreadsheetml/2017/richdata2" ref="K5:S11">
    <sortCondition ref="L2:L9"/>
  </sortState>
  <tableColumns count="9">
    <tableColumn id="1" xr3:uid="{3DD3B284-2B75-4268-941E-6176D4063FF1}" name="Equipa" dataDxfId="1">
      <calculatedColumnFormula>U7_GB!C3</calculatedColumnFormula>
    </tableColumn>
    <tableColumn id="2" xr3:uid="{44C5336E-94BD-4CBA-B9A1-01622CA803C7}" name="Pontos" dataDxfId="74">
      <calculatedColumnFormula>U7_GB!D3</calculatedColumnFormula>
    </tableColumn>
    <tableColumn id="3" xr3:uid="{42A0A741-0857-4C6C-B790-C93C92DC443F}" name="J" dataDxfId="73">
      <calculatedColumnFormula>U7_GB!E3</calculatedColumnFormula>
    </tableColumn>
    <tableColumn id="4" xr3:uid="{769B78A5-6206-4E2E-97BA-9DD969AF6A16}" name="V" dataDxfId="72">
      <calculatedColumnFormula>U7_GB!F3</calculatedColumnFormula>
    </tableColumn>
    <tableColumn id="5" xr3:uid="{43960C7E-7BE4-4348-94BF-13BA961B9BF1}" name="E" dataDxfId="71">
      <calculatedColumnFormula>U7_GB!G3</calculatedColumnFormula>
    </tableColumn>
    <tableColumn id="6" xr3:uid="{14C0B568-B1D7-47B0-8A68-4E341825CB0E}" name="D" dataDxfId="70">
      <calculatedColumnFormula>U7_GB!H3</calculatedColumnFormula>
    </tableColumn>
    <tableColumn id="7" xr3:uid="{D450CE56-CA33-4FB9-8421-E29A6D49EFA2}" name="GM" dataDxfId="69">
      <calculatedColumnFormula>U7_GB!I3</calculatedColumnFormula>
    </tableColumn>
    <tableColumn id="8" xr3:uid="{2EE032E4-A2CC-4FCC-AC2E-2604AFDD0097}" name="GS" dataDxfId="68">
      <calculatedColumnFormula>U7_GB!J3</calculatedColumnFormula>
    </tableColumn>
    <tableColumn id="9" xr3:uid="{5804ADB4-3CA3-473F-A0B6-1518D4D92D50}" name="DIFG" dataDxfId="67">
      <calculatedColumnFormula>U7_GB!K3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4EF8AF-D02D-4C3A-A2CE-9D91A0820C3D}" name="Tabela2122" displayName="Tabela2122" ref="A17:I24" totalsRowShown="0" headerRowDxfId="66" dataDxfId="65">
  <autoFilter ref="A17:I24" xr:uid="{6F4EF8AF-D02D-4C3A-A2CE-9D91A0820C3D}"/>
  <sortState xmlns:xlrd2="http://schemas.microsoft.com/office/spreadsheetml/2017/richdata2" ref="A18:I24">
    <sortCondition descending="1" ref="B2:B9"/>
  </sortState>
  <tableColumns count="9">
    <tableColumn id="1" xr3:uid="{392D6FAB-3613-47AC-9AFC-3476721ED314}" name="Equipa" dataDxfId="64">
      <calculatedColumnFormula>U9_GA!C3</calculatedColumnFormula>
    </tableColumn>
    <tableColumn id="2" xr3:uid="{79092A56-6EC1-4F07-B358-B4D01530FFA0}" name="Pontos" dataDxfId="63">
      <calculatedColumnFormula>U9_GA!D3</calculatedColumnFormula>
    </tableColumn>
    <tableColumn id="3" xr3:uid="{782D9B14-E05A-44FF-8948-378B58DFFA8C}" name="J" dataDxfId="62">
      <calculatedColumnFormula>U9_GA!E3</calculatedColumnFormula>
    </tableColumn>
    <tableColumn id="4" xr3:uid="{27A9D683-0EC4-4B3A-B032-2E22F914B94F}" name="V" dataDxfId="61">
      <calculatedColumnFormula>U9_GA!F3</calculatedColumnFormula>
    </tableColumn>
    <tableColumn id="5" xr3:uid="{75ED97F4-6C88-449C-87D2-6D278F6664E9}" name="E" dataDxfId="60">
      <calculatedColumnFormula>U9_GA!G3</calculatedColumnFormula>
    </tableColumn>
    <tableColumn id="6" xr3:uid="{2615F9DA-9E49-4278-A8F2-B2593C05D7EF}" name="D" dataDxfId="59">
      <calculatedColumnFormula>U9_GA!H3</calculatedColumnFormula>
    </tableColumn>
    <tableColumn id="7" xr3:uid="{137DBF3F-267B-424B-8C92-34D4C62FB17B}" name="GM" dataDxfId="58">
      <calculatedColumnFormula>U9_GA!I3</calculatedColumnFormula>
    </tableColumn>
    <tableColumn id="8" xr3:uid="{21CED1B4-D3D9-4D8E-BAEC-318923379162}" name="GS" dataDxfId="57">
      <calculatedColumnFormula>U9_GA!J3</calculatedColumnFormula>
    </tableColumn>
    <tableColumn id="9" xr3:uid="{89C93F18-21E8-47FB-97C0-C368011411D8}" name="DIFG" dataDxfId="56">
      <calculatedColumnFormula>U9_GA!K3</calculatedColumnFormula>
    </tableColumn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05A1A9D-5FDA-4261-A2A9-EB16426FFFB7}" name="Tabela279134" displayName="Tabela279134" ref="K17:S24" totalsRowShown="0" headerRowDxfId="55" dataDxfId="54">
  <autoFilter ref="K17:S24" xr:uid="{B05A1A9D-5FDA-4261-A2A9-EB16426FFFB7}"/>
  <sortState xmlns:xlrd2="http://schemas.microsoft.com/office/spreadsheetml/2017/richdata2" ref="K18:S24">
    <sortCondition ref="L2:L9"/>
  </sortState>
  <tableColumns count="9">
    <tableColumn id="1" xr3:uid="{EDDB5E26-B434-4EF4-A148-5B5183582AB3}" name="Equipa" dataDxfId="0">
      <calculatedColumnFormula>U9_GB!C3</calculatedColumnFormula>
    </tableColumn>
    <tableColumn id="2" xr3:uid="{1F0BE1E7-CB2B-44EA-8E04-8F4C7C452418}" name="Pontos" dataDxfId="53">
      <calculatedColumnFormula>U9_GB!D3</calculatedColumnFormula>
    </tableColumn>
    <tableColumn id="3" xr3:uid="{53009E02-7FAD-4597-BFDF-D048BEA6379A}" name="J" dataDxfId="52">
      <calculatedColumnFormula>U9_GB!E3</calculatedColumnFormula>
    </tableColumn>
    <tableColumn id="4" xr3:uid="{DBFDB6D4-15F8-41B7-A70D-8EFFE15C216F}" name="V" dataDxfId="51">
      <calculatedColumnFormula>U9_GB!F3</calculatedColumnFormula>
    </tableColumn>
    <tableColumn id="5" xr3:uid="{AF97ABC0-3074-4A9F-B6F7-80FE564736E5}" name="E" dataDxfId="50">
      <calculatedColumnFormula>U9_GB!G3</calculatedColumnFormula>
    </tableColumn>
    <tableColumn id="6" xr3:uid="{877E1E85-2CDF-4918-94FA-60A09E8F104B}" name="D" dataDxfId="49">
      <calculatedColumnFormula>U9_GB!H3</calculatedColumnFormula>
    </tableColumn>
    <tableColumn id="7" xr3:uid="{0804B933-FDEE-4670-B9F4-D43C84564BBA}" name="GM" dataDxfId="48">
      <calculatedColumnFormula>U9_GB!I3</calculatedColumnFormula>
    </tableColumn>
    <tableColumn id="8" xr3:uid="{A922B1A2-8DD7-4355-97C8-5B5D3F300840}" name="GS" dataDxfId="47">
      <calculatedColumnFormula>U9_GB!J3</calculatedColumnFormula>
    </tableColumn>
    <tableColumn id="9" xr3:uid="{0494CAD2-A3A3-4F9E-B5DC-C953267CAD29}" name="DIFG" dataDxfId="46">
      <calculatedColumnFormula>U9_GB!K3</calculatedColumnFormula>
    </tableColumn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126082-C34A-42C9-BE75-464BE4BCAB8F}" name="Tabela2" displayName="Tabela2" ref="C2:K9" totalsRowShown="0" headerRowDxfId="45" dataDxfId="44">
  <autoFilter ref="C2:K9" xr:uid="{6E126082-C34A-42C9-BE75-464BE4BCAB8F}"/>
  <sortState xmlns:xlrd2="http://schemas.microsoft.com/office/spreadsheetml/2017/richdata2" ref="C3:K9">
    <sortCondition descending="1" ref="D2:D9"/>
  </sortState>
  <tableColumns count="9">
    <tableColumn id="1" xr3:uid="{338C80B9-FF68-4630-B750-B04769A05A86}" name="Equipa" dataDxfId="43"/>
    <tableColumn id="2" xr3:uid="{727D71ED-94D8-41AF-AF6C-E191233307FA}" name="Pontos" dataDxfId="42">
      <calculatedColumnFormula>F3*3+G3</calculatedColumnFormula>
    </tableColumn>
    <tableColumn id="3" xr3:uid="{3057E586-9F5C-403A-9FDB-5A69E0DE527F}" name="J" dataDxfId="41">
      <calculatedColumnFormula>SUM(F3:H3)</calculatedColumnFormula>
    </tableColumn>
    <tableColumn id="4" xr3:uid="{E26B9F6A-5FB5-41B8-AB65-0E324E76AAC9}" name="V" dataDxfId="40"/>
    <tableColumn id="5" xr3:uid="{5D395F7C-E0FC-410C-9334-64FF61485094}" name="E" dataDxfId="39"/>
    <tableColumn id="6" xr3:uid="{BA524318-AE8C-4423-AAA2-69D54C93EB38}" name="D" dataDxfId="38"/>
    <tableColumn id="7" xr3:uid="{CC229421-BEE6-4CE1-B034-6B3E1DDD272A}" name="GM" dataDxfId="37"/>
    <tableColumn id="8" xr3:uid="{DA2375F0-7FCD-4286-BD24-88EE4705A3F5}" name="GS" dataDxfId="36"/>
    <tableColumn id="9" xr3:uid="{6D1D40B0-8543-472C-BD43-82AEDADB9339}" name="DIFG" dataDxfId="35">
      <calculatedColumnFormula>I3-J3</calculatedColumnFormula>
    </tableColumn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1F6E32-3F23-4EB5-B4E8-7D7A69934C70}" name="Tabela2798" displayName="Tabela2798" ref="C2:K9" totalsRowShown="0" headerRowDxfId="23" dataDxfId="22">
  <autoFilter ref="C2:K9" xr:uid="{2CD09F1B-53CF-4C4A-ADED-B0A6B42964F6}"/>
  <sortState xmlns:xlrd2="http://schemas.microsoft.com/office/spreadsheetml/2017/richdata2" ref="C3:K9">
    <sortCondition descending="1" ref="D2:D9"/>
  </sortState>
  <tableColumns count="9">
    <tableColumn id="1" xr3:uid="{2C7A7706-25D1-4BD7-983D-40A79DF83E87}" name="Equipa" dataDxfId="21"/>
    <tableColumn id="2" xr3:uid="{B90E3F10-0EDA-4B5F-B514-2CE37605C312}" name="Pontos" dataDxfId="20">
      <calculatedColumnFormula>F3*3+G3</calculatedColumnFormula>
    </tableColumn>
    <tableColumn id="3" xr3:uid="{A4D94150-ACAB-42E3-9378-16B299E45515}" name="J" dataDxfId="19">
      <calculatedColumnFormula>SUM(F3:H3)</calculatedColumnFormula>
    </tableColumn>
    <tableColumn id="4" xr3:uid="{E71A613B-BA38-4C88-B619-D109492478D7}" name="V" dataDxfId="18"/>
    <tableColumn id="5" xr3:uid="{49A257F8-2E5B-4B4B-A03B-B4ACE1C00974}" name="E" dataDxfId="17"/>
    <tableColumn id="6" xr3:uid="{7CCECD6F-7C40-4083-B936-7FD79F321AD5}" name="D" dataDxfId="16"/>
    <tableColumn id="7" xr3:uid="{5388ABE6-AF8E-4362-BABC-83F94D5E5880}" name="GM" dataDxfId="15"/>
    <tableColumn id="8" xr3:uid="{394C0E1C-F813-4FEE-8C2A-F4247D3C76BD}" name="GS" dataDxfId="14"/>
    <tableColumn id="9" xr3:uid="{AFA70E32-3385-4F36-BDF3-7764B50AAE32}" name="DIFG" dataDxfId="13">
      <calculatedColumnFormula>I3-J3</calculatedColumnFormula>
    </tableColumn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132E1A-499F-4702-BE8C-2A79D1954DFA}" name="Tabela25" displayName="Tabela25" ref="C2:K9" totalsRowShown="0" headerRowDxfId="34" dataDxfId="33">
  <autoFilter ref="C2:K9" xr:uid="{6E126082-C34A-42C9-BE75-464BE4BCAB8F}"/>
  <sortState xmlns:xlrd2="http://schemas.microsoft.com/office/spreadsheetml/2017/richdata2" ref="C3:K9">
    <sortCondition descending="1" ref="D2:D9"/>
  </sortState>
  <tableColumns count="9">
    <tableColumn id="1" xr3:uid="{AC70575B-8236-4699-AD3A-5557AA5EC184}" name="Equipa" dataDxfId="32"/>
    <tableColumn id="2" xr3:uid="{347157C8-38D8-4905-8319-A67EA94E7149}" name="Pontos" dataDxfId="31">
      <calculatedColumnFormula>F3*3+G3</calculatedColumnFormula>
    </tableColumn>
    <tableColumn id="3" xr3:uid="{87F8F08F-999D-4719-8480-E758C3142CB6}" name="J" dataDxfId="30">
      <calculatedColumnFormula>SUM(F3:H3)</calculatedColumnFormula>
    </tableColumn>
    <tableColumn id="4" xr3:uid="{E3A68835-C8DA-42F7-BAE4-0B41CACC45B6}" name="V" dataDxfId="29"/>
    <tableColumn id="5" xr3:uid="{6DBCA068-AD84-4AE5-BC86-D8236C32FCFA}" name="E" dataDxfId="28"/>
    <tableColumn id="6" xr3:uid="{A646D856-FC22-4236-A1AF-DADE366F1FAD}" name="D" dataDxfId="27"/>
    <tableColumn id="7" xr3:uid="{5D0F1CD4-1AF6-4D0F-A263-5E0F71A0C510}" name="GM" dataDxfId="26"/>
    <tableColumn id="8" xr3:uid="{AFE470AC-EA67-451A-A7F5-D964F8A6B788}" name="GS" dataDxfId="25"/>
    <tableColumn id="9" xr3:uid="{EB5D081F-FCD5-4D1A-86A6-7FECB81DF3DE}" name="DIFG" dataDxfId="24">
      <calculatedColumnFormula>I3-J3</calculatedColumnFormula>
    </tableColumn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3779A3-F7FC-4F74-8F8D-D257E3B248D4}" name="Tabela279610" displayName="Tabela279610" ref="C2:K9" totalsRowShown="0" headerRowDxfId="12" dataDxfId="11">
  <autoFilter ref="C2:K9" xr:uid="{2CD09F1B-53CF-4C4A-ADED-B0A6B42964F6}"/>
  <sortState xmlns:xlrd2="http://schemas.microsoft.com/office/spreadsheetml/2017/richdata2" ref="C3:K9">
    <sortCondition descending="1" ref="D2:D9"/>
  </sortState>
  <tableColumns count="9">
    <tableColumn id="1" xr3:uid="{A4208F76-CEDB-4132-830F-8BC38DD2C2A3}" name="Equipa" dataDxfId="10"/>
    <tableColumn id="2" xr3:uid="{2DFBE6E3-0ABC-4BF4-857E-84EAC2F776BC}" name="Pontos" dataDxfId="9">
      <calculatedColumnFormula>F3*3+G3</calculatedColumnFormula>
    </tableColumn>
    <tableColumn id="3" xr3:uid="{3E12F4A0-5490-41CB-A599-17A3141A920F}" name="J" dataDxfId="8">
      <calculatedColumnFormula>SUM(F3:H3)</calculatedColumnFormula>
    </tableColumn>
    <tableColumn id="4" xr3:uid="{3AB42420-D0DF-44F8-8641-1202EAE0CB75}" name="V" dataDxfId="7"/>
    <tableColumn id="5" xr3:uid="{F103DE58-D025-4845-9D47-F6A26A0940FD}" name="E" dataDxfId="6"/>
    <tableColumn id="6" xr3:uid="{53088F9A-4EA8-4E0D-8C0A-CD753553E612}" name="D" dataDxfId="5"/>
    <tableColumn id="7" xr3:uid="{E637599F-C925-4793-81B2-B531C8154518}" name="GM" dataDxfId="4"/>
    <tableColumn id="8" xr3:uid="{5AB2B917-5D02-4A8B-8AB5-B12C0F690566}" name="GS" dataDxfId="3"/>
    <tableColumn id="9" xr3:uid="{1EFCFC53-7575-4490-8936-C51C8ABEE7D4}" name="DIFG" dataDxfId="2">
      <calculatedColumnFormula>I3-J3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3FAEF-3517-4CCA-BAD3-1EF674E41E64}">
  <sheetPr codeName="Folha1"/>
  <dimension ref="A1:S24"/>
  <sheetViews>
    <sheetView topLeftCell="A11" workbookViewId="0">
      <selection activeCell="K28" sqref="K28"/>
    </sheetView>
  </sheetViews>
  <sheetFormatPr defaultRowHeight="15" x14ac:dyDescent="0.25"/>
  <cols>
    <col min="1" max="2" width="31.28515625" bestFit="1" customWidth="1"/>
    <col min="11" max="11" width="25.28515625" bestFit="1" customWidth="1"/>
  </cols>
  <sheetData>
    <row r="1" spans="1:19" ht="33" customHeight="1" x14ac:dyDescent="0.25">
      <c r="A1" s="9" t="s">
        <v>26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</row>
    <row r="3" spans="1:19" ht="18.75" x14ac:dyDescent="0.25">
      <c r="A3" s="7" t="s">
        <v>17</v>
      </c>
      <c r="B3" s="7"/>
      <c r="C3" s="7"/>
      <c r="D3" s="7"/>
      <c r="E3" s="7"/>
      <c r="F3" s="7"/>
      <c r="G3" s="7"/>
      <c r="H3" s="7"/>
      <c r="I3" s="8"/>
      <c r="K3" s="7" t="s">
        <v>25</v>
      </c>
      <c r="L3" s="7"/>
      <c r="M3" s="7"/>
      <c r="N3" s="7"/>
      <c r="O3" s="7"/>
      <c r="P3" s="7"/>
      <c r="Q3" s="7"/>
      <c r="R3" s="7"/>
      <c r="S3" s="8"/>
    </row>
    <row r="4" spans="1:19" x14ac:dyDescent="0.25">
      <c r="A4" s="4" t="s">
        <v>16</v>
      </c>
      <c r="B4" s="4" t="s">
        <v>15</v>
      </c>
      <c r="C4" s="4" t="s">
        <v>11</v>
      </c>
      <c r="D4" s="4" t="s">
        <v>8</v>
      </c>
      <c r="E4" s="4" t="s">
        <v>9</v>
      </c>
      <c r="F4" s="4" t="s">
        <v>10</v>
      </c>
      <c r="G4" s="4" t="s">
        <v>12</v>
      </c>
      <c r="H4" s="4" t="s">
        <v>13</v>
      </c>
      <c r="I4" s="4" t="s">
        <v>14</v>
      </c>
      <c r="K4" s="4" t="s">
        <v>16</v>
      </c>
      <c r="L4" s="4" t="s">
        <v>15</v>
      </c>
      <c r="M4" s="4" t="s">
        <v>11</v>
      </c>
      <c r="N4" s="4" t="s">
        <v>8</v>
      </c>
      <c r="O4" s="4" t="s">
        <v>9</v>
      </c>
      <c r="P4" s="4" t="s">
        <v>10</v>
      </c>
      <c r="Q4" s="4" t="s">
        <v>12</v>
      </c>
      <c r="R4" s="4" t="s">
        <v>13</v>
      </c>
      <c r="S4" s="4" t="s">
        <v>14</v>
      </c>
    </row>
    <row r="5" spans="1:19" x14ac:dyDescent="0.25">
      <c r="A5" s="4" t="str">
        <f>U7_GA!C3</f>
        <v>“Os Afonsinhos - Didaxis”</v>
      </c>
      <c r="B5" s="4">
        <f>U7_GA!D3</f>
        <v>3</v>
      </c>
      <c r="C5" s="4">
        <f>U7_GA!E3</f>
        <v>1</v>
      </c>
      <c r="D5" s="4">
        <f>U7_GA!F3</f>
        <v>1</v>
      </c>
      <c r="E5" s="4">
        <f>U7_GA!G3</f>
        <v>0</v>
      </c>
      <c r="F5" s="4">
        <f>U7_GA!H3</f>
        <v>0</v>
      </c>
      <c r="G5" s="4">
        <f>U7_GA!I3</f>
        <v>1</v>
      </c>
      <c r="H5" s="4">
        <f>U7_GA!J3</f>
        <v>0</v>
      </c>
      <c r="I5" s="4">
        <f>U7_GA!K3</f>
        <v>1</v>
      </c>
      <c r="K5" s="4" t="str">
        <f>U7_GB!C3</f>
        <v>Desportivo de Monção</v>
      </c>
      <c r="L5" s="4">
        <f>U7_GB!D3</f>
        <v>3</v>
      </c>
      <c r="M5" s="4">
        <f>U7_GB!E3</f>
        <v>1</v>
      </c>
      <c r="N5" s="4">
        <f>U7_GB!F3</f>
        <v>1</v>
      </c>
      <c r="O5" s="4">
        <f>U7_GB!G3</f>
        <v>0</v>
      </c>
      <c r="P5" s="4">
        <f>U7_GB!H3</f>
        <v>0</v>
      </c>
      <c r="Q5" s="4">
        <f>U7_GB!I3</f>
        <v>1</v>
      </c>
      <c r="R5" s="4">
        <f>U7_GB!J3</f>
        <v>0</v>
      </c>
      <c r="S5" s="4">
        <f>U7_GB!K3</f>
        <v>1</v>
      </c>
    </row>
    <row r="6" spans="1:19" x14ac:dyDescent="0.25">
      <c r="A6" s="4" t="str">
        <f>U7_GA!C4</f>
        <v>Clube Caçadores Os Torreenses</v>
      </c>
      <c r="B6" s="4">
        <f>U7_GA!D4</f>
        <v>1</v>
      </c>
      <c r="C6" s="4">
        <f>U7_GA!E4</f>
        <v>1</v>
      </c>
      <c r="D6" s="4">
        <f>U7_GA!F4</f>
        <v>0</v>
      </c>
      <c r="E6" s="4">
        <f>U7_GA!G4</f>
        <v>1</v>
      </c>
      <c r="F6" s="4">
        <f>U7_GA!H4</f>
        <v>0</v>
      </c>
      <c r="G6" s="4">
        <f>U7_GA!I4</f>
        <v>0</v>
      </c>
      <c r="H6" s="4">
        <f>U7_GA!J4</f>
        <v>0</v>
      </c>
      <c r="I6" s="4">
        <f>U7_GA!K4</f>
        <v>0</v>
      </c>
      <c r="K6" s="4" t="str">
        <f>U7_GB!C4</f>
        <v>FC Famalicão</v>
      </c>
      <c r="L6" s="4">
        <f>U7_GB!D4</f>
        <v>3</v>
      </c>
      <c r="M6" s="4">
        <f>U7_GB!E4</f>
        <v>1</v>
      </c>
      <c r="N6" s="4">
        <f>U7_GB!F4</f>
        <v>1</v>
      </c>
      <c r="O6" s="4">
        <f>U7_GB!G4</f>
        <v>0</v>
      </c>
      <c r="P6" s="4">
        <f>U7_GB!H4</f>
        <v>0</v>
      </c>
      <c r="Q6" s="4">
        <f>U7_GB!I4</f>
        <v>3</v>
      </c>
      <c r="R6" s="4">
        <f>U7_GB!J4</f>
        <v>0</v>
      </c>
      <c r="S6" s="4">
        <f>U7_GB!K4</f>
        <v>3</v>
      </c>
    </row>
    <row r="7" spans="1:19" x14ac:dyDescent="0.25">
      <c r="A7" s="4" t="str">
        <f>U7_GA!C5</f>
        <v>S.C Courense</v>
      </c>
      <c r="B7" s="4">
        <f>U7_GA!D5</f>
        <v>1</v>
      </c>
      <c r="C7" s="4">
        <f>U7_GA!E5</f>
        <v>1</v>
      </c>
      <c r="D7" s="4">
        <f>U7_GA!F5</f>
        <v>0</v>
      </c>
      <c r="E7" s="4">
        <f>U7_GA!G5</f>
        <v>1</v>
      </c>
      <c r="F7" s="4">
        <f>U7_GA!H5</f>
        <v>0</v>
      </c>
      <c r="G7" s="4">
        <f>U7_GA!I5</f>
        <v>0</v>
      </c>
      <c r="H7" s="4">
        <f>U7_GA!J5</f>
        <v>0</v>
      </c>
      <c r="I7" s="4">
        <f>U7_GA!K5</f>
        <v>0</v>
      </c>
      <c r="K7" s="4" t="str">
        <f>U7_GB!C5</f>
        <v>Academia Sporting Esmoriz</v>
      </c>
      <c r="L7" s="4">
        <f>U7_GB!D5</f>
        <v>1</v>
      </c>
      <c r="M7" s="4">
        <f>U7_GB!E5</f>
        <v>1</v>
      </c>
      <c r="N7" s="4">
        <f>U7_GB!F5</f>
        <v>0</v>
      </c>
      <c r="O7" s="4">
        <f>U7_GB!G5</f>
        <v>1</v>
      </c>
      <c r="P7" s="4">
        <f>U7_GB!H5</f>
        <v>0</v>
      </c>
      <c r="Q7" s="4">
        <f>U7_GB!I5</f>
        <v>0</v>
      </c>
      <c r="R7" s="4">
        <f>U7_GB!J5</f>
        <v>0</v>
      </c>
      <c r="S7" s="4">
        <f>U7_GB!K5</f>
        <v>0</v>
      </c>
    </row>
    <row r="8" spans="1:19" x14ac:dyDescent="0.25">
      <c r="A8" s="4" t="str">
        <f>U7_GA!C6</f>
        <v xml:space="preserve">Celta Academy Braga </v>
      </c>
      <c r="B8" s="4">
        <f>U7_GA!D6</f>
        <v>1</v>
      </c>
      <c r="C8" s="4">
        <f>U7_GA!E6</f>
        <v>1</v>
      </c>
      <c r="D8" s="4">
        <f>U7_GA!F6</f>
        <v>0</v>
      </c>
      <c r="E8" s="4">
        <f>U7_GA!G6</f>
        <v>1</v>
      </c>
      <c r="F8" s="4">
        <f>U7_GA!H6</f>
        <v>0</v>
      </c>
      <c r="G8" s="4">
        <f>U7_GA!I6</f>
        <v>0</v>
      </c>
      <c r="H8" s="4">
        <f>U7_GA!J6</f>
        <v>0</v>
      </c>
      <c r="I8" s="4">
        <f>U7_GA!K6</f>
        <v>0</v>
      </c>
      <c r="K8" s="4" t="str">
        <f>U7_GB!C6</f>
        <v>AD Fafe</v>
      </c>
      <c r="L8" s="4">
        <f>U7_GB!D6</f>
        <v>1</v>
      </c>
      <c r="M8" s="4">
        <f>U7_GB!E6</f>
        <v>1</v>
      </c>
      <c r="N8" s="4">
        <f>U7_GB!F6</f>
        <v>0</v>
      </c>
      <c r="O8" s="4">
        <f>U7_GB!G6</f>
        <v>1</v>
      </c>
      <c r="P8" s="4">
        <f>U7_GB!H6</f>
        <v>0</v>
      </c>
      <c r="Q8" s="4">
        <f>U7_GB!I6</f>
        <v>0</v>
      </c>
      <c r="R8" s="4">
        <f>U7_GB!J6</f>
        <v>0</v>
      </c>
      <c r="S8" s="4">
        <f>U7_GB!K6</f>
        <v>0</v>
      </c>
    </row>
    <row r="9" spans="1:19" x14ac:dyDescent="0.25">
      <c r="A9" s="4" t="str">
        <f>U7_GA!C7</f>
        <v>SC Braga</v>
      </c>
      <c r="B9" s="4">
        <f>U7_GA!D7</f>
        <v>1</v>
      </c>
      <c r="C9" s="4">
        <f>U7_GA!E7</f>
        <v>1</v>
      </c>
      <c r="D9" s="4">
        <f>U7_GA!F7</f>
        <v>0</v>
      </c>
      <c r="E9" s="4">
        <f>U7_GA!G7</f>
        <v>1</v>
      </c>
      <c r="F9" s="4">
        <f>U7_GA!H7</f>
        <v>0</v>
      </c>
      <c r="G9" s="4">
        <f>U7_GA!I7</f>
        <v>0</v>
      </c>
      <c r="H9" s="4">
        <f>U7_GA!J7</f>
        <v>0</v>
      </c>
      <c r="I9" s="4">
        <f>U7_GA!K7</f>
        <v>0</v>
      </c>
      <c r="K9" s="4" t="str">
        <f>U7_GB!C7</f>
        <v>FC Marinhas</v>
      </c>
      <c r="L9" s="4">
        <f>U7_GB!D7</f>
        <v>0</v>
      </c>
      <c r="M9" s="4">
        <f>U7_GB!E7</f>
        <v>1</v>
      </c>
      <c r="N9" s="4">
        <f>U7_GB!F7</f>
        <v>0</v>
      </c>
      <c r="O9" s="4">
        <f>U7_GB!G7</f>
        <v>0</v>
      </c>
      <c r="P9" s="4">
        <f>U7_GB!H7</f>
        <v>1</v>
      </c>
      <c r="Q9" s="4">
        <f>U7_GB!I7</f>
        <v>0</v>
      </c>
      <c r="R9" s="4">
        <f>U7_GB!J7</f>
        <v>1</v>
      </c>
      <c r="S9" s="4">
        <f>U7_GB!K7</f>
        <v>-1</v>
      </c>
    </row>
    <row r="10" spans="1:19" x14ac:dyDescent="0.25">
      <c r="A10" s="4" t="str">
        <f>U7_GA!C8</f>
        <v>União Desportiva São Verissimo</v>
      </c>
      <c r="B10" s="4">
        <f>U7_GA!D8</f>
        <v>0</v>
      </c>
      <c r="C10" s="4">
        <f>U7_GA!E8</f>
        <v>1</v>
      </c>
      <c r="D10" s="4">
        <f>U7_GA!F8</f>
        <v>0</v>
      </c>
      <c r="E10" s="4">
        <f>U7_GA!G8</f>
        <v>0</v>
      </c>
      <c r="F10" s="4">
        <f>U7_GA!H8</f>
        <v>1</v>
      </c>
      <c r="G10" s="4">
        <f>U7_GA!I8</f>
        <v>0</v>
      </c>
      <c r="H10" s="4">
        <f>U7_GA!J8</f>
        <v>1</v>
      </c>
      <c r="I10" s="4">
        <f>U7_GA!K8</f>
        <v>-1</v>
      </c>
      <c r="K10" s="4" t="str">
        <f>U7_GB!C8</f>
        <v>Vitoria Sport Clube</v>
      </c>
      <c r="L10" s="4">
        <f>U7_GB!D8</f>
        <v>0</v>
      </c>
      <c r="M10" s="4">
        <f>U7_GB!E8</f>
        <v>0</v>
      </c>
      <c r="N10" s="4">
        <f>U7_GB!F8</f>
        <v>0</v>
      </c>
      <c r="O10" s="4">
        <f>U7_GB!G8</f>
        <v>0</v>
      </c>
      <c r="P10" s="4">
        <f>U7_GB!H8</f>
        <v>0</v>
      </c>
      <c r="Q10" s="4">
        <f>U7_GB!I8</f>
        <v>0</v>
      </c>
      <c r="R10" s="4">
        <f>U7_GB!J8</f>
        <v>0</v>
      </c>
      <c r="S10" s="4">
        <f>U7_GB!K8</f>
        <v>0</v>
      </c>
    </row>
    <row r="11" spans="1:19" x14ac:dyDescent="0.25">
      <c r="A11" s="4" t="str">
        <f>U7_GA!C9</f>
        <v>FC Porto</v>
      </c>
      <c r="B11" s="4">
        <f>U7_GA!D9</f>
        <v>0</v>
      </c>
      <c r="C11" s="4">
        <f>U7_GA!E9</f>
        <v>0</v>
      </c>
      <c r="D11" s="4">
        <f>U7_GA!F9</f>
        <v>0</v>
      </c>
      <c r="E11" s="4">
        <f>U7_GA!G9</f>
        <v>0</v>
      </c>
      <c r="F11" s="4">
        <f>U7_GA!H9</f>
        <v>0</v>
      </c>
      <c r="G11" s="4">
        <f>U7_GA!I9</f>
        <v>0</v>
      </c>
      <c r="H11" s="4">
        <f>U7_GA!J9</f>
        <v>0</v>
      </c>
      <c r="I11" s="4">
        <f>U7_GA!K9</f>
        <v>0</v>
      </c>
      <c r="K11" s="4" t="str">
        <f>U7_GB!C9</f>
        <v>-</v>
      </c>
      <c r="L11" s="4">
        <f>U7_GB!D9</f>
        <v>0</v>
      </c>
      <c r="M11" s="4">
        <f>U7_GB!E9</f>
        <v>1</v>
      </c>
      <c r="N11" s="4">
        <f>U7_GB!F9</f>
        <v>0</v>
      </c>
      <c r="O11" s="4">
        <f>U7_GB!G9</f>
        <v>0</v>
      </c>
      <c r="P11" s="4">
        <f>U7_GB!H9</f>
        <v>1</v>
      </c>
      <c r="Q11" s="4">
        <f>U7_GB!I9</f>
        <v>0</v>
      </c>
      <c r="R11" s="4">
        <f>U7_GB!J9</f>
        <v>3</v>
      </c>
      <c r="S11" s="4">
        <f>U7_GB!K9</f>
        <v>-3</v>
      </c>
    </row>
    <row r="14" spans="1:19" ht="28.5" x14ac:dyDescent="0.25">
      <c r="A14" s="9" t="s">
        <v>27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</row>
    <row r="16" spans="1:19" ht="18.75" x14ac:dyDescent="0.25">
      <c r="A16" s="7" t="s">
        <v>17</v>
      </c>
      <c r="B16" s="7"/>
      <c r="C16" s="7"/>
      <c r="D16" s="7"/>
      <c r="E16" s="7"/>
      <c r="F16" s="7"/>
      <c r="G16" s="7"/>
      <c r="H16" s="7"/>
      <c r="I16" s="8"/>
      <c r="K16" s="7" t="s">
        <v>25</v>
      </c>
      <c r="L16" s="7"/>
      <c r="M16" s="7"/>
      <c r="N16" s="7"/>
      <c r="O16" s="7"/>
      <c r="P16" s="7"/>
      <c r="Q16" s="7"/>
      <c r="R16" s="7"/>
      <c r="S16" s="8"/>
    </row>
    <row r="17" spans="1:19" x14ac:dyDescent="0.25">
      <c r="A17" s="4" t="s">
        <v>16</v>
      </c>
      <c r="B17" s="4" t="s">
        <v>15</v>
      </c>
      <c r="C17" s="4" t="s">
        <v>11</v>
      </c>
      <c r="D17" s="4" t="s">
        <v>8</v>
      </c>
      <c r="E17" s="4" t="s">
        <v>9</v>
      </c>
      <c r="F17" s="4" t="s">
        <v>10</v>
      </c>
      <c r="G17" s="4" t="s">
        <v>12</v>
      </c>
      <c r="H17" s="4" t="s">
        <v>13</v>
      </c>
      <c r="I17" s="4" t="s">
        <v>14</v>
      </c>
      <c r="K17" s="4" t="s">
        <v>16</v>
      </c>
      <c r="L17" s="4" t="s">
        <v>15</v>
      </c>
      <c r="M17" s="4" t="s">
        <v>11</v>
      </c>
      <c r="N17" s="4" t="s">
        <v>8</v>
      </c>
      <c r="O17" s="4" t="s">
        <v>9</v>
      </c>
      <c r="P17" s="4" t="s">
        <v>10</v>
      </c>
      <c r="Q17" s="4" t="s">
        <v>12</v>
      </c>
      <c r="R17" s="4" t="s">
        <v>13</v>
      </c>
      <c r="S17" s="4" t="s">
        <v>14</v>
      </c>
    </row>
    <row r="18" spans="1:19" x14ac:dyDescent="0.25">
      <c r="A18" s="4" t="str">
        <f>U9_GA!C3</f>
        <v>Academia Sporting de Barcelos</v>
      </c>
      <c r="B18" s="4">
        <f>U9_GA!D3</f>
        <v>3</v>
      </c>
      <c r="C18" s="4">
        <f>U9_GA!E3</f>
        <v>1</v>
      </c>
      <c r="D18" s="4">
        <f>U9_GA!F3</f>
        <v>1</v>
      </c>
      <c r="E18" s="4">
        <f>U9_GA!G3</f>
        <v>0</v>
      </c>
      <c r="F18" s="4">
        <f>U9_GA!H3</f>
        <v>0</v>
      </c>
      <c r="G18" s="4">
        <f>U9_GA!I3</f>
        <v>2</v>
      </c>
      <c r="H18" s="4">
        <f>U9_GA!J3</f>
        <v>0</v>
      </c>
      <c r="I18" s="4">
        <f>U9_GA!K3</f>
        <v>2</v>
      </c>
      <c r="K18" s="4" t="str">
        <f>U9_GB!C3</f>
        <v>Os Cokinhas</v>
      </c>
      <c r="L18" s="4">
        <f>U9_GB!D3</f>
        <v>3</v>
      </c>
      <c r="M18" s="4">
        <f>U9_GB!E3</f>
        <v>1</v>
      </c>
      <c r="N18" s="4">
        <f>U9_GB!F3</f>
        <v>1</v>
      </c>
      <c r="O18" s="4">
        <f>U9_GB!G3</f>
        <v>0</v>
      </c>
      <c r="P18" s="4">
        <f>U9_GB!H3</f>
        <v>0</v>
      </c>
      <c r="Q18" s="4">
        <f>U9_GB!I3</f>
        <v>2</v>
      </c>
      <c r="R18" s="4">
        <f>U9_GB!J3</f>
        <v>0</v>
      </c>
      <c r="S18" s="4">
        <f>U9_GB!K3</f>
        <v>2</v>
      </c>
    </row>
    <row r="19" spans="1:19" x14ac:dyDescent="0.25">
      <c r="A19" s="4" t="str">
        <f>U9_GA!C4</f>
        <v>FC Porto</v>
      </c>
      <c r="B19" s="4">
        <f>U9_GA!D4</f>
        <v>3</v>
      </c>
      <c r="C19" s="4">
        <f>U9_GA!E4</f>
        <v>1</v>
      </c>
      <c r="D19" s="4">
        <f>U9_GA!F4</f>
        <v>1</v>
      </c>
      <c r="E19" s="4">
        <f>U9_GA!G4</f>
        <v>0</v>
      </c>
      <c r="F19" s="4">
        <f>U9_GA!H4</f>
        <v>0</v>
      </c>
      <c r="G19" s="4">
        <f>U9_GA!I4</f>
        <v>10</v>
      </c>
      <c r="H19" s="4">
        <f>U9_GA!J4</f>
        <v>0</v>
      </c>
      <c r="I19" s="4">
        <f>U9_GA!K4</f>
        <v>10</v>
      </c>
      <c r="K19" s="4" t="str">
        <f>U9_GB!C4</f>
        <v xml:space="preserve">Celta Academy Braga </v>
      </c>
      <c r="L19" s="4">
        <f>U9_GB!D4</f>
        <v>3</v>
      </c>
      <c r="M19" s="4">
        <f>U9_GB!E4</f>
        <v>1</v>
      </c>
      <c r="N19" s="4">
        <f>U9_GB!F4</f>
        <v>1</v>
      </c>
      <c r="O19" s="4">
        <f>U9_GB!G4</f>
        <v>0</v>
      </c>
      <c r="P19" s="4">
        <f>U9_GB!H4</f>
        <v>0</v>
      </c>
      <c r="Q19" s="4">
        <f>U9_GB!I4</f>
        <v>5</v>
      </c>
      <c r="R19" s="4">
        <f>U9_GB!J4</f>
        <v>4</v>
      </c>
      <c r="S19" s="4">
        <f>U9_GB!K4</f>
        <v>1</v>
      </c>
    </row>
    <row r="20" spans="1:19" x14ac:dyDescent="0.25">
      <c r="A20" s="4" t="str">
        <f>U9_GA!C5</f>
        <v>Academica de Coimbra</v>
      </c>
      <c r="B20" s="4">
        <f>U9_GA!D5</f>
        <v>1</v>
      </c>
      <c r="C20" s="4">
        <f>U9_GA!E5</f>
        <v>1</v>
      </c>
      <c r="D20" s="4">
        <f>U9_GA!F5</f>
        <v>0</v>
      </c>
      <c r="E20" s="4">
        <f>U9_GA!G5</f>
        <v>1</v>
      </c>
      <c r="F20" s="4">
        <f>U9_GA!H5</f>
        <v>0</v>
      </c>
      <c r="G20" s="4">
        <f>U9_GA!I5</f>
        <v>2</v>
      </c>
      <c r="H20" s="4">
        <f>U9_GA!J5</f>
        <v>2</v>
      </c>
      <c r="I20" s="4">
        <f>U9_GA!K5</f>
        <v>0</v>
      </c>
      <c r="K20" s="4" t="str">
        <f>U9_GB!C5</f>
        <v xml:space="preserve">Deportivo Coruña </v>
      </c>
      <c r="L20" s="4">
        <f>U9_GB!D5</f>
        <v>3</v>
      </c>
      <c r="M20" s="4">
        <f>U9_GB!E5</f>
        <v>1</v>
      </c>
      <c r="N20" s="4">
        <f>U9_GB!F5</f>
        <v>1</v>
      </c>
      <c r="O20" s="4">
        <f>U9_GB!G5</f>
        <v>0</v>
      </c>
      <c r="P20" s="4">
        <f>U9_GB!H5</f>
        <v>0</v>
      </c>
      <c r="Q20" s="4">
        <f>U9_GB!I5</f>
        <v>9</v>
      </c>
      <c r="R20" s="4">
        <f>U9_GB!J5</f>
        <v>0</v>
      </c>
      <c r="S20" s="4">
        <f>U9_GB!K5</f>
        <v>9</v>
      </c>
    </row>
    <row r="21" spans="1:19" x14ac:dyDescent="0.25">
      <c r="A21" s="4" t="str">
        <f>U9_GA!C6</f>
        <v>S.C Courense</v>
      </c>
      <c r="B21" s="4">
        <f>U9_GA!D6</f>
        <v>1</v>
      </c>
      <c r="C21" s="4">
        <f>U9_GA!E6</f>
        <v>1</v>
      </c>
      <c r="D21" s="4">
        <f>U9_GA!F6</f>
        <v>0</v>
      </c>
      <c r="E21" s="4">
        <f>U9_GA!G6</f>
        <v>1</v>
      </c>
      <c r="F21" s="4">
        <f>U9_GA!H6</f>
        <v>0</v>
      </c>
      <c r="G21" s="4">
        <f>U9_GA!I6</f>
        <v>2</v>
      </c>
      <c r="H21" s="4">
        <f>U9_GA!J6</f>
        <v>2</v>
      </c>
      <c r="I21" s="4">
        <f>U9_GA!K6</f>
        <v>0</v>
      </c>
      <c r="K21" s="4" t="str">
        <f>U9_GB!C6</f>
        <v>SC Valenciano</v>
      </c>
      <c r="L21" s="4">
        <f>U9_GB!D6</f>
        <v>0</v>
      </c>
      <c r="M21" s="4">
        <f>U9_GB!E6</f>
        <v>1</v>
      </c>
      <c r="N21" s="4">
        <f>U9_GB!F6</f>
        <v>0</v>
      </c>
      <c r="O21" s="4">
        <f>U9_GB!G6</f>
        <v>0</v>
      </c>
      <c r="P21" s="4">
        <f>U9_GB!H6</f>
        <v>1</v>
      </c>
      <c r="Q21" s="4">
        <f>U9_GB!I6</f>
        <v>0</v>
      </c>
      <c r="R21" s="4">
        <f>U9_GB!J6</f>
        <v>2</v>
      </c>
      <c r="S21" s="4">
        <f>U9_GB!K6</f>
        <v>-2</v>
      </c>
    </row>
    <row r="22" spans="1:19" x14ac:dyDescent="0.25">
      <c r="A22" s="4" t="str">
        <f>U9_GA!C7</f>
        <v>AD Fafe</v>
      </c>
      <c r="B22" s="4">
        <f>U9_GA!D7</f>
        <v>0</v>
      </c>
      <c r="C22" s="4">
        <f>U9_GA!E7</f>
        <v>1</v>
      </c>
      <c r="D22" s="4">
        <f>U9_GA!F7</f>
        <v>0</v>
      </c>
      <c r="E22" s="4">
        <f>U9_GA!G7</f>
        <v>0</v>
      </c>
      <c r="F22" s="4">
        <f>U9_GA!H7</f>
        <v>1</v>
      </c>
      <c r="G22" s="4">
        <f>U9_GA!I7</f>
        <v>0</v>
      </c>
      <c r="H22" s="4">
        <f>U9_GA!J7</f>
        <v>2</v>
      </c>
      <c r="I22" s="4">
        <f>U9_GA!K7</f>
        <v>-2</v>
      </c>
      <c r="K22" s="4" t="str">
        <f>U9_GB!C7</f>
        <v>Desportivo de Monção</v>
      </c>
      <c r="L22" s="4">
        <f>U9_GB!D7</f>
        <v>0</v>
      </c>
      <c r="M22" s="4">
        <f>U9_GB!E7</f>
        <v>1</v>
      </c>
      <c r="N22" s="4">
        <f>U9_GB!F7</f>
        <v>0</v>
      </c>
      <c r="O22" s="4">
        <f>U9_GB!G7</f>
        <v>0</v>
      </c>
      <c r="P22" s="4">
        <f>U9_GB!H7</f>
        <v>1</v>
      </c>
      <c r="Q22" s="4">
        <f>U9_GB!I7</f>
        <v>0</v>
      </c>
      <c r="R22" s="4">
        <f>U9_GB!J7</f>
        <v>9</v>
      </c>
      <c r="S22" s="4">
        <f>U9_GB!K7</f>
        <v>-9</v>
      </c>
    </row>
    <row r="23" spans="1:19" x14ac:dyDescent="0.25">
      <c r="A23" s="4" t="str">
        <f>U9_GA!C8</f>
        <v>Grupo Desportivo de Porto D`Ave</v>
      </c>
      <c r="B23" s="4">
        <f>U9_GA!D8</f>
        <v>0</v>
      </c>
      <c r="C23" s="4">
        <f>U9_GA!E8</f>
        <v>1</v>
      </c>
      <c r="D23" s="4">
        <f>U9_GA!F8</f>
        <v>0</v>
      </c>
      <c r="E23" s="4">
        <f>U9_GA!G8</f>
        <v>0</v>
      </c>
      <c r="F23" s="4">
        <f>U9_GA!H8</f>
        <v>1</v>
      </c>
      <c r="G23" s="4">
        <f>U9_GA!I8</f>
        <v>0</v>
      </c>
      <c r="H23" s="4">
        <f>U9_GA!J8</f>
        <v>10</v>
      </c>
      <c r="I23" s="4">
        <f>U9_GA!K8</f>
        <v>-10</v>
      </c>
      <c r="K23" s="4" t="str">
        <f>U9_GB!C8</f>
        <v>SC Braga</v>
      </c>
      <c r="L23" s="4">
        <f>U9_GB!D8</f>
        <v>0</v>
      </c>
      <c r="M23" s="4">
        <f>U9_GB!E8</f>
        <v>0</v>
      </c>
      <c r="N23" s="4">
        <f>U9_GB!F8</f>
        <v>0</v>
      </c>
      <c r="O23" s="4">
        <f>U9_GB!G8</f>
        <v>0</v>
      </c>
      <c r="P23" s="4">
        <f>U9_GB!H8</f>
        <v>0</v>
      </c>
      <c r="Q23" s="4">
        <f>U9_GB!I8</f>
        <v>0</v>
      </c>
      <c r="R23" s="4">
        <f>U9_GB!J8</f>
        <v>0</v>
      </c>
      <c r="S23" s="4">
        <f>U9_GB!K8</f>
        <v>0</v>
      </c>
    </row>
    <row r="24" spans="1:19" x14ac:dyDescent="0.25">
      <c r="A24" s="4" t="str">
        <f>U9_GA!C9</f>
        <v>FC Marinhas</v>
      </c>
      <c r="B24" s="4">
        <f>U9_GA!D9</f>
        <v>0</v>
      </c>
      <c r="C24" s="4">
        <f>U9_GA!E9</f>
        <v>0</v>
      </c>
      <c r="D24" s="4">
        <f>U9_GA!F9</f>
        <v>0</v>
      </c>
      <c r="E24" s="4">
        <f>U9_GA!G9</f>
        <v>0</v>
      </c>
      <c r="F24" s="4">
        <f>U9_GA!H9</f>
        <v>0</v>
      </c>
      <c r="G24" s="4">
        <f>U9_GA!I9</f>
        <v>0</v>
      </c>
      <c r="H24" s="4">
        <f>U9_GA!J9</f>
        <v>0</v>
      </c>
      <c r="I24" s="4">
        <f>U9_GA!K9</f>
        <v>0</v>
      </c>
      <c r="K24" s="4" t="str">
        <f>U9_GB!C9</f>
        <v>“Os Afonsinhos - Didaxis”</v>
      </c>
      <c r="L24" s="4">
        <f>U9_GB!D9</f>
        <v>0</v>
      </c>
      <c r="M24" s="4">
        <f>U9_GB!E9</f>
        <v>1</v>
      </c>
      <c r="N24" s="4">
        <f>U9_GB!F9</f>
        <v>0</v>
      </c>
      <c r="O24" s="4">
        <f>U9_GB!G9</f>
        <v>0</v>
      </c>
      <c r="P24" s="4">
        <f>U9_GB!H9</f>
        <v>1</v>
      </c>
      <c r="Q24" s="4">
        <f>U9_GB!I9</f>
        <v>4</v>
      </c>
      <c r="R24" s="4">
        <f>U9_GB!J9</f>
        <v>5</v>
      </c>
      <c r="S24" s="4">
        <f>U9_GB!K9</f>
        <v>-1</v>
      </c>
    </row>
  </sheetData>
  <mergeCells count="6">
    <mergeCell ref="A16:I16"/>
    <mergeCell ref="K16:S16"/>
    <mergeCell ref="A3:I3"/>
    <mergeCell ref="K3:S3"/>
    <mergeCell ref="A1:S1"/>
    <mergeCell ref="A14:S14"/>
  </mergeCells>
  <pageMargins left="0.7" right="0.7" top="0.75" bottom="0.75" header="0.3" footer="0.3"/>
  <ignoredErrors>
    <ignoredError sqref="C5" calculatedColumn="1"/>
  </ignoredErrors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79823-9B1B-45F7-8916-D96AE558D192}">
  <sheetPr codeName="Folha2"/>
  <dimension ref="A1:M32"/>
  <sheetViews>
    <sheetView tabSelected="1" workbookViewId="0">
      <selection activeCell="Q10" sqref="Q10"/>
    </sheetView>
  </sheetViews>
  <sheetFormatPr defaultRowHeight="15" x14ac:dyDescent="0.25"/>
  <cols>
    <col min="2" max="2" width="2.28515625" bestFit="1" customWidth="1"/>
    <col min="3" max="3" width="31.28515625" bestFit="1" customWidth="1"/>
    <col min="4" max="4" width="9.28515625" customWidth="1"/>
    <col min="7" max="7" width="9.140625" customWidth="1"/>
    <col min="12" max="12" width="1.7109375" customWidth="1"/>
  </cols>
  <sheetData>
    <row r="1" spans="1:13" ht="18.75" x14ac:dyDescent="0.25">
      <c r="C1" s="7" t="s">
        <v>17</v>
      </c>
      <c r="D1" s="7"/>
      <c r="E1" s="7"/>
      <c r="F1" s="7"/>
      <c r="G1" s="7"/>
      <c r="H1" s="7"/>
      <c r="I1" s="7"/>
      <c r="J1" s="7"/>
      <c r="K1" s="8"/>
      <c r="L1" s="4"/>
      <c r="M1" s="4"/>
    </row>
    <row r="2" spans="1:13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  <c r="M2" s="4"/>
    </row>
    <row r="3" spans="1:13" x14ac:dyDescent="0.25">
      <c r="C3" s="4" t="s">
        <v>5</v>
      </c>
      <c r="D3" s="4">
        <f>F3*3+G3</f>
        <v>3</v>
      </c>
      <c r="E3" s="4">
        <f>SUM(F3:H3)</f>
        <v>1</v>
      </c>
      <c r="F3" s="4">
        <f>COUNTIF($B$16,"V")+COUNTIF($B$20,"V")+COUNTIF($B$26,"V")+COUNTIF($J$13,"V")+COUNTIF($J$22,"V")+COUNTIF($J$30,"V")</f>
        <v>1</v>
      </c>
      <c r="G3" s="4">
        <f>COUNTIF($B$16,"E")+COUNTIF($B$20,"E")+COUNTIF($B$26,"E")+COUNTIF($J$13,"E")+COUNTIF($J$22,"E")+COUNTIF($J$30,"E")</f>
        <v>0</v>
      </c>
      <c r="H3" s="4">
        <f>COUNTIF($B$16,"D")+COUNTIF($B$20,"D")+COUNTIF($B$26,"D")+COUNTIF($J$13,"D")+COUNTIF($J$22,"D")+COUNTIF($J$30,"D")</f>
        <v>0</v>
      </c>
      <c r="I3" s="4">
        <f>$F$13+$F$22+$F$30+$D$26+$D$20+$D$16</f>
        <v>1</v>
      </c>
      <c r="J3" s="4">
        <f>$D$13+$D$30+$D$22+$F$16+$F$20+$F$26</f>
        <v>0</v>
      </c>
      <c r="K3" s="4">
        <f>I3-J3</f>
        <v>1</v>
      </c>
      <c r="L3" s="4"/>
      <c r="M3" s="4"/>
    </row>
    <row r="4" spans="1:13" ht="15.75" x14ac:dyDescent="0.25">
      <c r="C4" s="5" t="s">
        <v>4</v>
      </c>
      <c r="D4" s="4">
        <f>F4*3+G4</f>
        <v>1</v>
      </c>
      <c r="E4" s="4">
        <f>SUM(F4:H4)</f>
        <v>1</v>
      </c>
      <c r="F4" s="4">
        <f>COUNTIF($B$19,"V")+COUNTIF($B$24,"V")+COUNTIF($B$27,"V")+COUNTIF($J$12,"V")+COUNTIF($J$16,"V")+COUNTIF($J$31,"V")</f>
        <v>0</v>
      </c>
      <c r="G4" s="4">
        <f>COUNTIF($B$19,"E")+COUNTIF($B$24,"E")+COUNTIF($B$27,"E")+COUNTIF($J$12,"E")+COUNTIF($J$16,"E")+COUNTIF($J$31,"E")</f>
        <v>1</v>
      </c>
      <c r="H4" s="4">
        <f>COUNTIF($B$19,"D")+COUNTIF($B$24,"D")+COUNTIF($B$27,"D")+COUNTIF($J$12,"D")+COUNTIF($J$16,"D")+COUNTIF($J$31,"D")</f>
        <v>0</v>
      </c>
      <c r="I4" s="4">
        <f>$F$12+$F$16+$F$31+$D$24+$D$27+$D$19</f>
        <v>0</v>
      </c>
      <c r="J4" s="4">
        <f>$D$12+$D$16+$D$31+$F$27+$F$24+$F$19</f>
        <v>0</v>
      </c>
      <c r="K4" s="4">
        <f>I4-J4</f>
        <v>0</v>
      </c>
      <c r="L4" s="4"/>
      <c r="M4" s="4"/>
    </row>
    <row r="5" spans="1:13" x14ac:dyDescent="0.25">
      <c r="C5" s="4" t="s">
        <v>0</v>
      </c>
      <c r="D5" s="4">
        <f>F5*3+G5</f>
        <v>1</v>
      </c>
      <c r="E5" s="4">
        <f>SUM(F5:H5)</f>
        <v>1</v>
      </c>
      <c r="F5" s="4">
        <f>COUNTIF($B$12,"V")+COUNTIF($B$22,"V")+COUNTIF($B$25,"V")+COUNTIF($J$18,"V")+COUNTIF($J$29,"V")+COUNTIF($J$15,"V")</f>
        <v>0</v>
      </c>
      <c r="G5" s="4">
        <f>COUNTIF($B$12,"E")+COUNTIF($B$22,"E")+COUNTIF($B$25,"E")+COUNTIF($J$18,"E")+COUNTIF($J$29,"E")+COUNTIF($J$15,"E")</f>
        <v>1</v>
      </c>
      <c r="H5" s="4">
        <f>COUNTIF($B$12,"D")+COUNTIF($B$22,"D")+COUNTIF($B$25,"D")+COUNTIF($J$18,"D")+COUNTIF($J$29,"D")+COUNTIF($J$15,"D")</f>
        <v>0</v>
      </c>
      <c r="I5" s="4">
        <f>$D$12+$D$25+$D$22+$F$29+$F$18+$F$15</f>
        <v>0</v>
      </c>
      <c r="J5" s="4">
        <f>$F$12+$D$15+$D$18+$F$22+$D$29+$F$25</f>
        <v>0</v>
      </c>
      <c r="K5" s="4">
        <f>I5-J5</f>
        <v>0</v>
      </c>
      <c r="L5" s="4"/>
      <c r="M5" s="4"/>
    </row>
    <row r="6" spans="1:13" x14ac:dyDescent="0.25">
      <c r="C6" s="4" t="s">
        <v>6</v>
      </c>
      <c r="D6" s="4">
        <f>F6*3+G6</f>
        <v>1</v>
      </c>
      <c r="E6" s="4">
        <f>SUM(F6:H6)</f>
        <v>1</v>
      </c>
      <c r="F6" s="4">
        <f>COUNTIF($B$18,"V")+COUNTIF($B$21,"V")+COUNTIF($B$30,"V")+COUNTIF($J$14,"V")+COUNTIF($J$23,"V")+COUNTIF($J$27,"V")</f>
        <v>0</v>
      </c>
      <c r="G6" s="4">
        <f>COUNTIF($B$18,"E")+COUNTIF($B$21,"E")+COUNTIF($B$30,"E")+COUNTIF($J$14,"E")+COUNTIF($J$23,"E")+COUNTIF($J$27,"E")</f>
        <v>1</v>
      </c>
      <c r="H6" s="4">
        <f>COUNTIF($B$18,"D")+COUNTIF($B$21,"D")+COUNTIF($B$30,"D")+COUNTIF($J$14,"D")+COUNTIF($J$23,"D")+COUNTIF($J$27,"D")</f>
        <v>0</v>
      </c>
      <c r="I6" s="4">
        <f>$F$14+$F$23+$F$27+$D$30+$D$21+$D$18</f>
        <v>0</v>
      </c>
      <c r="J6" s="4">
        <f>$D$14+$D$27+$D$23+$F$18+$F$30+$F$21</f>
        <v>0</v>
      </c>
      <c r="K6" s="4">
        <f>I6-J6</f>
        <v>0</v>
      </c>
      <c r="L6" s="4"/>
      <c r="M6" s="4"/>
    </row>
    <row r="7" spans="1:13" x14ac:dyDescent="0.25">
      <c r="C7" s="4" t="s">
        <v>3</v>
      </c>
      <c r="D7" s="4">
        <f>F7*3+G7</f>
        <v>1</v>
      </c>
      <c r="E7" s="4">
        <f>SUM(F7:H7)</f>
        <v>1</v>
      </c>
      <c r="F7" s="4">
        <f>COUNTIF($B$14,"V")+COUNTIF($B$28,"V")+COUNTIF($B$31,"V")+COUNTIF($J$17,"V")+COUNTIF($J$20,"V")+COUNTIF($J$25,"V")</f>
        <v>0</v>
      </c>
      <c r="G7" s="4">
        <f>COUNTIF($B$14,"E")+COUNTIF($B$28,"E")+COUNTIF($B$31,"E")+COUNTIF($J$17,"E")+COUNTIF($J$20,"E")+COUNTIF($J$25,"E")</f>
        <v>1</v>
      </c>
      <c r="H7" s="4">
        <f>COUNTIF($B$14,"D")+COUNTIF($B$28,"D")+COUNTIF($B$31,"D")+COUNTIF($J$17,"D")+COUNTIF($J$20,"D")+COUNTIF($J$25,"D")</f>
        <v>0</v>
      </c>
      <c r="I7" s="4">
        <f>$D$14+$D$28+$D$31+$F$25+$F$20+$F$17</f>
        <v>0</v>
      </c>
      <c r="J7" s="4">
        <f>$F$14+$F$28+$F$31+$D$25+$D$20+$D$17</f>
        <v>0</v>
      </c>
      <c r="K7" s="4">
        <f>I7-J7</f>
        <v>0</v>
      </c>
      <c r="L7" s="4"/>
      <c r="M7" s="4"/>
    </row>
    <row r="8" spans="1:13" x14ac:dyDescent="0.25">
      <c r="C8" s="4" t="s">
        <v>1</v>
      </c>
      <c r="D8" s="4">
        <f>F8*3+G8</f>
        <v>0</v>
      </c>
      <c r="E8" s="4">
        <f>SUM(F8:H8)</f>
        <v>1</v>
      </c>
      <c r="F8" s="4">
        <f>COUNTIF($B$13,"V")+COUNTIF($B$17,"V")+COUNTIF($B$29,"V")+COUNTIF($J$21,"V")+COUNTIF($J$24,"V")+COUNTIF($J$32,"V")</f>
        <v>0</v>
      </c>
      <c r="G8" s="4">
        <f>COUNTIF($B$13,"E")+COUNTIF($B$17,"E")+COUNTIF($B$29,"E")+COUNTIF($J$21,"E")+COUNTIF($J$24,"E")+COUNTIF($J$32,"E")</f>
        <v>0</v>
      </c>
      <c r="H8" s="4">
        <f>COUNTIF($B$13,"D")+COUNTIF($B$17,"D")+COUNTIF($B$29,"D")+COUNTIF($J$21,"D")+COUNTIF($J$24,"D")+COUNTIF($J$32,"D")</f>
        <v>1</v>
      </c>
      <c r="I8" s="4">
        <f>$D$13+$D$17+$D$29+$F$21+$F$24+$F$32</f>
        <v>0</v>
      </c>
      <c r="J8" s="4">
        <f>$F$13+$F$17+$D$21+$D$24+$D$32+$F$29</f>
        <v>1</v>
      </c>
      <c r="K8" s="4">
        <f>I8-J8</f>
        <v>-1</v>
      </c>
      <c r="L8" s="4"/>
      <c r="M8" s="4"/>
    </row>
    <row r="9" spans="1:13" x14ac:dyDescent="0.25">
      <c r="C9" s="4" t="s">
        <v>2</v>
      </c>
      <c r="D9" s="4">
        <f>F9*3+G9</f>
        <v>0</v>
      </c>
      <c r="E9" s="4">
        <f>SUM(F9:H9)</f>
        <v>0</v>
      </c>
      <c r="F9" s="4">
        <f>COUNTIF($B$15,"V")+COUNTIF($B$23,"V")+COUNTIF($B$32,"V")+COUNTIF($J$19,"V")+COUNTIF($J$26,"V")+COUNTIF($J$28,"V")</f>
        <v>0</v>
      </c>
      <c r="G9" s="4">
        <f>COUNTIF($B$15,"E")+COUNTIF($B$23,"E")+COUNTIF($B$32,"E")+COUNTIF($J$19,"E")+COUNTIF($J$26,"E")+COUNTIF($J$28,"E")</f>
        <v>0</v>
      </c>
      <c r="H9" s="4">
        <f>COUNTIF($B$15,"D")+COUNTIF($B$23,"D")+COUNTIF($B$32,"D")+COUNTIF($J$19,"D")+COUNTIF($J$26,"D")+COUNTIF($J$28,"D")</f>
        <v>0</v>
      </c>
      <c r="I9" s="4">
        <f>$D$15+$D$23+$D$32+$F$28+$F$19+$F$26</f>
        <v>0</v>
      </c>
      <c r="J9" s="4">
        <f>$F$15+$F$23+$F$32+$D$28+$D$26+$D$19</f>
        <v>0</v>
      </c>
      <c r="K9" s="4">
        <f>I9-J9</f>
        <v>0</v>
      </c>
      <c r="L9" s="4"/>
      <c r="M9" s="4"/>
    </row>
    <row r="12" spans="1:13" x14ac:dyDescent="0.25">
      <c r="A12" s="15">
        <f>[1]U7_c!A3</f>
        <v>0.375</v>
      </c>
      <c r="B12" t="str">
        <f>IF(D12="","-",IF(D12=F12,"E",IF(D12&gt;F12,"V","D")))</f>
        <v>E</v>
      </c>
      <c r="C12" s="1" t="s">
        <v>0</v>
      </c>
      <c r="D12" s="2">
        <v>0</v>
      </c>
      <c r="E12" s="3" t="s">
        <v>7</v>
      </c>
      <c r="F12" s="2">
        <v>0</v>
      </c>
      <c r="G12" s="11" t="s">
        <v>4</v>
      </c>
      <c r="H12" s="12"/>
      <c r="I12" s="12"/>
      <c r="J12" t="str">
        <f>IF(F12="","-",IF(F12=D12,"E",IF(F12&gt;D12,"V","D")))</f>
        <v>E</v>
      </c>
    </row>
    <row r="13" spans="1:13" x14ac:dyDescent="0.25">
      <c r="A13" s="15">
        <f>[1]U7_c!A4</f>
        <v>0.3888888888888889</v>
      </c>
      <c r="B13" t="str">
        <f t="shared" ref="B13:B32" si="0">IF(D13="","-",IF(D13=F13,"E",IF(D13&gt;F13,"V","D")))</f>
        <v>D</v>
      </c>
      <c r="C13" s="1" t="s">
        <v>1</v>
      </c>
      <c r="D13" s="2">
        <v>0</v>
      </c>
      <c r="E13" s="3" t="s">
        <v>7</v>
      </c>
      <c r="F13" s="2">
        <v>1</v>
      </c>
      <c r="G13" s="11" t="s">
        <v>5</v>
      </c>
      <c r="H13" s="12"/>
      <c r="I13" s="12"/>
      <c r="J13" t="str">
        <f t="shared" ref="J13:J32" si="1">IF(F13="","-",IF(F13=D13,"E",IF(F13&gt;D13,"V","D")))</f>
        <v>V</v>
      </c>
    </row>
    <row r="14" spans="1:13" x14ac:dyDescent="0.25">
      <c r="A14" s="15">
        <f>[1]U7_c!A5</f>
        <v>0.40277777777777779</v>
      </c>
      <c r="B14" t="str">
        <f t="shared" si="0"/>
        <v>E</v>
      </c>
      <c r="C14" s="1" t="s">
        <v>3</v>
      </c>
      <c r="D14" s="2">
        <v>0</v>
      </c>
      <c r="E14" s="3" t="s">
        <v>7</v>
      </c>
      <c r="F14" s="2">
        <v>0</v>
      </c>
      <c r="G14" s="11" t="s">
        <v>6</v>
      </c>
      <c r="H14" s="12"/>
      <c r="I14" s="12"/>
      <c r="J14" t="str">
        <f t="shared" si="1"/>
        <v>E</v>
      </c>
    </row>
    <row r="15" spans="1:13" x14ac:dyDescent="0.25">
      <c r="A15" s="15">
        <f>[1]U7_c!A6</f>
        <v>0.41666666666666669</v>
      </c>
      <c r="B15" t="str">
        <f t="shared" si="0"/>
        <v>-</v>
      </c>
      <c r="C15" s="1" t="s">
        <v>2</v>
      </c>
      <c r="D15" s="2"/>
      <c r="E15" s="3" t="s">
        <v>7</v>
      </c>
      <c r="F15" s="2"/>
      <c r="G15" s="11" t="s">
        <v>0</v>
      </c>
      <c r="H15" s="12"/>
      <c r="I15" s="12"/>
      <c r="J15" t="str">
        <f t="shared" si="1"/>
        <v>-</v>
      </c>
    </row>
    <row r="16" spans="1:13" x14ac:dyDescent="0.25">
      <c r="A16" s="15">
        <f>[1]U7_c!A7</f>
        <v>0.43055555555555558</v>
      </c>
      <c r="B16" t="str">
        <f t="shared" si="0"/>
        <v>-</v>
      </c>
      <c r="C16" s="1" t="s">
        <v>5</v>
      </c>
      <c r="D16" s="2"/>
      <c r="E16" s="3" t="s">
        <v>7</v>
      </c>
      <c r="F16" s="2"/>
      <c r="G16" s="11" t="s">
        <v>4</v>
      </c>
      <c r="H16" s="12"/>
      <c r="I16" s="12"/>
      <c r="J16" t="str">
        <f t="shared" si="1"/>
        <v>-</v>
      </c>
    </row>
    <row r="17" spans="1:10" x14ac:dyDescent="0.25">
      <c r="A17" s="15">
        <f>[1]U7_c!A8</f>
        <v>0.44444444444444448</v>
      </c>
      <c r="B17" t="str">
        <f t="shared" si="0"/>
        <v>-</v>
      </c>
      <c r="C17" s="1" t="s">
        <v>1</v>
      </c>
      <c r="D17" s="2"/>
      <c r="E17" s="3" t="s">
        <v>7</v>
      </c>
      <c r="F17" s="2"/>
      <c r="G17" s="11" t="s">
        <v>3</v>
      </c>
      <c r="H17" s="12"/>
      <c r="I17" s="12"/>
      <c r="J17" t="str">
        <f t="shared" si="1"/>
        <v>-</v>
      </c>
    </row>
    <row r="18" spans="1:10" x14ac:dyDescent="0.25">
      <c r="A18" s="15">
        <f>[1]U7_c!A9</f>
        <v>0.45833333333333337</v>
      </c>
      <c r="B18" t="str">
        <f t="shared" si="0"/>
        <v>-</v>
      </c>
      <c r="C18" s="1" t="s">
        <v>6</v>
      </c>
      <c r="D18" s="2"/>
      <c r="E18" s="3" t="s">
        <v>7</v>
      </c>
      <c r="F18" s="2"/>
      <c r="G18" s="11" t="s">
        <v>0</v>
      </c>
      <c r="H18" s="12"/>
      <c r="I18" s="12"/>
      <c r="J18" t="str">
        <f t="shared" si="1"/>
        <v>-</v>
      </c>
    </row>
    <row r="19" spans="1:10" x14ac:dyDescent="0.25">
      <c r="A19" s="15">
        <f>[1]U7_c!A10</f>
        <v>0.47222222222222227</v>
      </c>
      <c r="B19" t="str">
        <f t="shared" si="0"/>
        <v>-</v>
      </c>
      <c r="C19" s="1" t="s">
        <v>4</v>
      </c>
      <c r="D19" s="2"/>
      <c r="E19" s="3" t="s">
        <v>7</v>
      </c>
      <c r="F19" s="2"/>
      <c r="G19" s="11" t="s">
        <v>2</v>
      </c>
      <c r="H19" s="12"/>
      <c r="I19" s="12"/>
      <c r="J19" t="str">
        <f t="shared" si="1"/>
        <v>-</v>
      </c>
    </row>
    <row r="20" spans="1:10" x14ac:dyDescent="0.25">
      <c r="A20" s="15">
        <f>[1]U7_c!A11</f>
        <v>0.48611111111111116</v>
      </c>
      <c r="B20" t="str">
        <f t="shared" si="0"/>
        <v>-</v>
      </c>
      <c r="C20" s="1" t="s">
        <v>5</v>
      </c>
      <c r="D20" s="2"/>
      <c r="E20" s="3" t="s">
        <v>7</v>
      </c>
      <c r="F20" s="2"/>
      <c r="G20" s="11" t="s">
        <v>3</v>
      </c>
      <c r="H20" s="12"/>
      <c r="I20" s="12"/>
      <c r="J20" t="str">
        <f t="shared" si="1"/>
        <v>-</v>
      </c>
    </row>
    <row r="21" spans="1:10" x14ac:dyDescent="0.25">
      <c r="A21" s="15">
        <f>[1]U7_c!A12</f>
        <v>0.5</v>
      </c>
      <c r="B21" t="str">
        <f t="shared" si="0"/>
        <v>-</v>
      </c>
      <c r="C21" s="1" t="s">
        <v>6</v>
      </c>
      <c r="D21" s="2"/>
      <c r="E21" s="3" t="s">
        <v>7</v>
      </c>
      <c r="F21" s="2"/>
      <c r="G21" s="11" t="s">
        <v>1</v>
      </c>
      <c r="H21" s="12"/>
      <c r="I21" s="12"/>
      <c r="J21" t="str">
        <f t="shared" si="1"/>
        <v>-</v>
      </c>
    </row>
    <row r="22" spans="1:10" x14ac:dyDescent="0.25">
      <c r="A22" s="15">
        <f>[1]U7_c!A13</f>
        <v>0.51388888888888884</v>
      </c>
      <c r="B22" t="str">
        <f t="shared" si="0"/>
        <v>-</v>
      </c>
      <c r="C22" s="1" t="s">
        <v>0</v>
      </c>
      <c r="D22" s="2"/>
      <c r="E22" s="3" t="s">
        <v>7</v>
      </c>
      <c r="F22" s="2"/>
      <c r="G22" s="11" t="s">
        <v>5</v>
      </c>
      <c r="H22" s="12"/>
      <c r="I22" s="12"/>
      <c r="J22" t="str">
        <f t="shared" si="1"/>
        <v>-</v>
      </c>
    </row>
    <row r="23" spans="1:10" x14ac:dyDescent="0.25">
      <c r="A23" s="15">
        <f>[1]U7_c!A14</f>
        <v>0.52777777777777768</v>
      </c>
      <c r="B23" t="str">
        <f t="shared" si="0"/>
        <v>-</v>
      </c>
      <c r="C23" s="1" t="s">
        <v>2</v>
      </c>
      <c r="D23" s="2"/>
      <c r="E23" s="3" t="s">
        <v>7</v>
      </c>
      <c r="F23" s="2"/>
      <c r="G23" s="11" t="s">
        <v>6</v>
      </c>
      <c r="H23" s="12"/>
      <c r="I23" s="12"/>
      <c r="J23" t="str">
        <f t="shared" si="1"/>
        <v>-</v>
      </c>
    </row>
    <row r="24" spans="1:10" x14ac:dyDescent="0.25">
      <c r="A24" s="15">
        <f>[1]U7_c!A15</f>
        <v>0.58333333333333337</v>
      </c>
      <c r="B24" t="str">
        <f t="shared" si="0"/>
        <v>-</v>
      </c>
      <c r="C24" s="1" t="s">
        <v>4</v>
      </c>
      <c r="D24" s="2"/>
      <c r="E24" s="3" t="s">
        <v>7</v>
      </c>
      <c r="F24" s="2"/>
      <c r="G24" s="11" t="s">
        <v>1</v>
      </c>
      <c r="H24" s="12"/>
      <c r="I24" s="12"/>
      <c r="J24" t="str">
        <f t="shared" si="1"/>
        <v>-</v>
      </c>
    </row>
    <row r="25" spans="1:10" x14ac:dyDescent="0.25">
      <c r="A25" s="15">
        <f>[1]U7_c!A16</f>
        <v>0.59722222222222221</v>
      </c>
      <c r="B25" t="str">
        <f t="shared" si="0"/>
        <v>-</v>
      </c>
      <c r="C25" s="1" t="s">
        <v>0</v>
      </c>
      <c r="D25" s="2"/>
      <c r="E25" s="3" t="s">
        <v>7</v>
      </c>
      <c r="F25" s="2"/>
      <c r="G25" s="11" t="s">
        <v>3</v>
      </c>
      <c r="H25" s="12"/>
      <c r="I25" s="12"/>
      <c r="J25" t="str">
        <f t="shared" si="1"/>
        <v>-</v>
      </c>
    </row>
    <row r="26" spans="1:10" x14ac:dyDescent="0.25">
      <c r="A26" s="15">
        <f>[1]U7_c!A17</f>
        <v>0.61111111111111105</v>
      </c>
      <c r="B26" t="str">
        <f t="shared" si="0"/>
        <v>-</v>
      </c>
      <c r="C26" s="1" t="s">
        <v>5</v>
      </c>
      <c r="D26" s="2"/>
      <c r="E26" s="3" t="s">
        <v>7</v>
      </c>
      <c r="F26" s="2"/>
      <c r="G26" s="11" t="s">
        <v>2</v>
      </c>
      <c r="H26" s="12"/>
      <c r="I26" s="12"/>
      <c r="J26" t="str">
        <f t="shared" si="1"/>
        <v>-</v>
      </c>
    </row>
    <row r="27" spans="1:10" x14ac:dyDescent="0.25">
      <c r="A27" s="15">
        <f>[1]U7_c!A18</f>
        <v>0.62499999999999989</v>
      </c>
      <c r="B27" t="str">
        <f t="shared" si="0"/>
        <v>-</v>
      </c>
      <c r="C27" s="1" t="s">
        <v>4</v>
      </c>
      <c r="D27" s="2"/>
      <c r="E27" s="3" t="s">
        <v>7</v>
      </c>
      <c r="F27" s="2"/>
      <c r="G27" s="11" t="s">
        <v>6</v>
      </c>
      <c r="H27" s="12"/>
      <c r="I27" s="12"/>
      <c r="J27" t="str">
        <f t="shared" si="1"/>
        <v>-</v>
      </c>
    </row>
    <row r="28" spans="1:10" x14ac:dyDescent="0.25">
      <c r="A28" s="15">
        <f>[1]U7_c!A19</f>
        <v>0.63888888888888873</v>
      </c>
      <c r="B28" t="str">
        <f t="shared" si="0"/>
        <v>-</v>
      </c>
      <c r="C28" s="1" t="s">
        <v>3</v>
      </c>
      <c r="D28" s="2"/>
      <c r="E28" s="3" t="s">
        <v>7</v>
      </c>
      <c r="F28" s="2"/>
      <c r="G28" s="11" t="s">
        <v>2</v>
      </c>
      <c r="H28" s="12"/>
      <c r="I28" s="12"/>
      <c r="J28" t="str">
        <f t="shared" si="1"/>
        <v>-</v>
      </c>
    </row>
    <row r="29" spans="1:10" x14ac:dyDescent="0.25">
      <c r="A29" s="15">
        <f>[1]U7_c!A20</f>
        <v>0.65277777777777757</v>
      </c>
      <c r="B29" t="str">
        <f t="shared" si="0"/>
        <v>-</v>
      </c>
      <c r="C29" s="1" t="s">
        <v>1</v>
      </c>
      <c r="D29" s="2"/>
      <c r="E29" s="3" t="s">
        <v>7</v>
      </c>
      <c r="F29" s="2"/>
      <c r="G29" s="11" t="s">
        <v>0</v>
      </c>
      <c r="H29" s="12"/>
      <c r="I29" s="12"/>
      <c r="J29" t="str">
        <f t="shared" si="1"/>
        <v>-</v>
      </c>
    </row>
    <row r="30" spans="1:10" x14ac:dyDescent="0.25">
      <c r="A30" s="15">
        <f>[1]U7_c!A21</f>
        <v>0.66666666666666641</v>
      </c>
      <c r="B30" t="str">
        <f t="shared" si="0"/>
        <v>-</v>
      </c>
      <c r="C30" s="1" t="s">
        <v>6</v>
      </c>
      <c r="D30" s="2"/>
      <c r="E30" s="3" t="s">
        <v>7</v>
      </c>
      <c r="F30" s="2"/>
      <c r="G30" s="11" t="s">
        <v>5</v>
      </c>
      <c r="H30" s="12"/>
      <c r="I30" s="12"/>
      <c r="J30" t="str">
        <f t="shared" si="1"/>
        <v>-</v>
      </c>
    </row>
    <row r="31" spans="1:10" x14ac:dyDescent="0.25">
      <c r="A31" s="15">
        <f>[1]U7_c!A22</f>
        <v>0.68055555555555525</v>
      </c>
      <c r="B31" t="str">
        <f t="shared" si="0"/>
        <v>-</v>
      </c>
      <c r="C31" s="1" t="s">
        <v>3</v>
      </c>
      <c r="D31" s="2"/>
      <c r="E31" s="3" t="s">
        <v>7</v>
      </c>
      <c r="F31" s="2"/>
      <c r="G31" s="11" t="s">
        <v>4</v>
      </c>
      <c r="H31" s="12"/>
      <c r="I31" s="12"/>
      <c r="J31" t="str">
        <f t="shared" si="1"/>
        <v>-</v>
      </c>
    </row>
    <row r="32" spans="1:10" x14ac:dyDescent="0.25">
      <c r="A32" s="15">
        <f>[1]U7_c!A23</f>
        <v>0.69444444444444409</v>
      </c>
      <c r="B32" t="str">
        <f t="shared" si="0"/>
        <v>-</v>
      </c>
      <c r="C32" s="1" t="s">
        <v>2</v>
      </c>
      <c r="D32" s="2"/>
      <c r="E32" s="3" t="s">
        <v>7</v>
      </c>
      <c r="F32" s="2"/>
      <c r="G32" s="11" t="s">
        <v>1</v>
      </c>
      <c r="H32" s="12"/>
      <c r="I32" s="12"/>
      <c r="J32" t="str">
        <f t="shared" si="1"/>
        <v>-</v>
      </c>
    </row>
  </sheetData>
  <mergeCells count="22">
    <mergeCell ref="G29:I29"/>
    <mergeCell ref="G30:I30"/>
    <mergeCell ref="G31:I31"/>
    <mergeCell ref="G32:I32"/>
    <mergeCell ref="C1:K1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G12:I12"/>
    <mergeCell ref="G13:I13"/>
    <mergeCell ref="G14:I14"/>
    <mergeCell ref="G15:I15"/>
    <mergeCell ref="G16:I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tão3_Click">
                <anchor moveWithCells="1" sizeWithCells="1">
                  <from>
                    <xdr:col>12</xdr:col>
                    <xdr:colOff>133350</xdr:colOff>
                    <xdr:row>1</xdr:row>
                    <xdr:rowOff>9525</xdr:rowOff>
                  </from>
                  <to>
                    <xdr:col>13</xdr:col>
                    <xdr:colOff>304800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D553B-1F00-410D-A171-0025256833F6}">
  <sheetPr codeName="Folha3"/>
  <dimension ref="A1:K32"/>
  <sheetViews>
    <sheetView workbookViewId="0">
      <selection activeCell="L17" sqref="L17"/>
    </sheetView>
  </sheetViews>
  <sheetFormatPr defaultRowHeight="15" x14ac:dyDescent="0.25"/>
  <cols>
    <col min="2" max="2" width="1.7109375" bestFit="1" customWidth="1"/>
    <col min="3" max="3" width="31.28515625" bestFit="1" customWidth="1"/>
  </cols>
  <sheetData>
    <row r="1" spans="1:11" ht="18.75" x14ac:dyDescent="0.25">
      <c r="C1" s="7" t="s">
        <v>25</v>
      </c>
      <c r="D1" s="7"/>
      <c r="E1" s="7"/>
      <c r="F1" s="7"/>
      <c r="G1" s="7"/>
      <c r="H1" s="7"/>
      <c r="I1" s="7"/>
      <c r="J1" s="7"/>
      <c r="K1" s="8"/>
    </row>
    <row r="2" spans="1:11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25">
      <c r="C3" s="4" t="s">
        <v>18</v>
      </c>
      <c r="D3" s="4">
        <f>F3*3+G3</f>
        <v>3</v>
      </c>
      <c r="E3" s="4">
        <f>SUM(F3:H3)</f>
        <v>1</v>
      </c>
      <c r="F3" s="4">
        <f>COUNTIF($B$12,"V")+COUNTIF($B$22,"V")+COUNTIF($B$25,"V")+COUNTIF($J$18,"V")+COUNTIF($J$29,"V")+COUNTIF($J$15,"V")</f>
        <v>1</v>
      </c>
      <c r="G3" s="4">
        <f>COUNTIF($B$12,"E")+COUNTIF($B$22,"E")+COUNTIF($B$25,"E")+COUNTIF($J$18,"E")+COUNTIF($J$29,"E")+COUNTIF($J$15,"E")</f>
        <v>0</v>
      </c>
      <c r="H3" s="4">
        <f>COUNTIF($B$12,"D")+COUNTIF($B$22,"D")+COUNTIF($B$25,"D")+COUNTIF($J$18,"D")+COUNTIF($J$29,"D")+COUNTIF($J$15,"D")</f>
        <v>0</v>
      </c>
      <c r="I3" s="4">
        <f>$D$12+$D$22+$D$25+$F$29+$F$15+$F$18</f>
        <v>1</v>
      </c>
      <c r="J3" s="4">
        <f>$F$12+$D$15+$D$18+$F$22+$D$29+$F$25</f>
        <v>0</v>
      </c>
      <c r="K3" s="4">
        <f>I3-J3</f>
        <v>1</v>
      </c>
    </row>
    <row r="4" spans="1:11" x14ac:dyDescent="0.25">
      <c r="C4" s="4" t="s">
        <v>20</v>
      </c>
      <c r="D4" s="4">
        <f>F4*3+G4</f>
        <v>3</v>
      </c>
      <c r="E4" s="4">
        <f>SUM(F4:H4)</f>
        <v>1</v>
      </c>
      <c r="F4" s="4">
        <f>COUNTIF($B$16,"V")+COUNTIF($B$20,"V")+COUNTIF($B$26,"V")+COUNTIF($J$13,"V")+COUNTIF($J$22,"V")+COUNTIF($J$30,"V")</f>
        <v>1</v>
      </c>
      <c r="G4" s="4">
        <f>COUNTIF($B$16,"E")+COUNTIF($B$20,"E")+COUNTIF($B$26,"E")+COUNTIF($J$13,"E")+COUNTIF($J$22,"E")+COUNTIF($J$30,"E")</f>
        <v>0</v>
      </c>
      <c r="H4" s="4">
        <f>COUNTIF($B$16,"D")+COUNTIF($B$20,"D")+COUNTIF($B$26,"D")+COUNTIF($J$13,"D")+COUNTIF($J$22,"D")+COUNTIF($J$30,"D")</f>
        <v>0</v>
      </c>
      <c r="I4" s="4">
        <f>$F$13+$F$22+$F$30+$D$26+$D$20+$D$16</f>
        <v>3</v>
      </c>
      <c r="J4" s="4">
        <f>$D$13+$D$30+$D$22+$F$16+$F$20+$F$26</f>
        <v>0</v>
      </c>
      <c r="K4" s="4">
        <f>I4-J4</f>
        <v>3</v>
      </c>
    </row>
    <row r="5" spans="1:11" x14ac:dyDescent="0.25">
      <c r="C5" s="4" t="s">
        <v>21</v>
      </c>
      <c r="D5" s="4">
        <f>F5*3+G5</f>
        <v>1</v>
      </c>
      <c r="E5" s="4">
        <f>SUM(F5:H5)</f>
        <v>1</v>
      </c>
      <c r="F5" s="4">
        <f>COUNTIF($B$14,"V")+COUNTIF($B$28,"V")+COUNTIF($B$31,"V")+COUNTIF($J$17,"V")+COUNTIF($J$20,"V")+COUNTIF($J$25,"V")</f>
        <v>0</v>
      </c>
      <c r="G5" s="4">
        <f>COUNTIF($B$14,"E")+COUNTIF($B$28,"E")+COUNTIF($B$31,"E")+COUNTIF($J$17,"E")+COUNTIF($J$20,"E")+COUNTIF($J$25,"E")</f>
        <v>1</v>
      </c>
      <c r="H5" s="4">
        <f>COUNTIF($B$14,"D")+COUNTIF($B$28,"D")+COUNTIF($B$31,"D")+COUNTIF($J$17,"D")+COUNTIF($J$20,"D")+COUNTIF($J$25,"D")</f>
        <v>0</v>
      </c>
      <c r="I5" s="4">
        <f>$D$14+$D$28+$D$31+$F$25+$F$20+$F$17</f>
        <v>0</v>
      </c>
      <c r="J5" s="4">
        <f>$F$14+$F$28+$F$31+$D$25+$D$20+$D$17</f>
        <v>0</v>
      </c>
      <c r="K5" s="4">
        <f>I5-J5</f>
        <v>0</v>
      </c>
    </row>
    <row r="6" spans="1:11" x14ac:dyDescent="0.25">
      <c r="C6" s="4" t="s">
        <v>22</v>
      </c>
      <c r="D6" s="4">
        <f>F6*3+G6</f>
        <v>1</v>
      </c>
      <c r="E6" s="4">
        <f>SUM(F6:H6)</f>
        <v>1</v>
      </c>
      <c r="F6" s="4">
        <f>COUNTIF($B$18,"V")+COUNTIF($B$21,"V")+COUNTIF($B$30,"V")+COUNTIF($J$14,"V")+COUNTIF($J$23,"V")+COUNTIF($J$27,"V")</f>
        <v>0</v>
      </c>
      <c r="G6" s="4">
        <f>COUNTIF($B$18,"E")+COUNTIF($B$21,"E")+COUNTIF($B$30,"E")+COUNTIF($J$14,"E")+COUNTIF($J$23,"E")+COUNTIF($J$27,"E")</f>
        <v>1</v>
      </c>
      <c r="H6" s="4">
        <f>COUNTIF($B$18,"D")+COUNTIF($B$21,"D")+COUNTIF($B$30,"D")+COUNTIF($J$14,"D")+COUNTIF($J$23,"D")+COUNTIF($J$27,"D")</f>
        <v>0</v>
      </c>
      <c r="I6" s="4">
        <f>$D$18+$D$21+$D$30+$F$27+$F$14+$F$23</f>
        <v>0</v>
      </c>
      <c r="J6" s="4">
        <f>$F$18+$D$14+$D$23+$F$21+$D$27+$F$30</f>
        <v>0</v>
      </c>
      <c r="K6" s="4">
        <f>I6-J6</f>
        <v>0</v>
      </c>
    </row>
    <row r="7" spans="1:11" x14ac:dyDescent="0.25">
      <c r="C7" s="4" t="s">
        <v>19</v>
      </c>
      <c r="D7" s="4">
        <f>F7*3+G7</f>
        <v>0</v>
      </c>
      <c r="E7" s="4">
        <f>SUM(F7:H7)</f>
        <v>1</v>
      </c>
      <c r="F7" s="4">
        <f>COUNTIF($B$19,"V")+COUNTIF($B$24,"V")+COUNTIF($B$27,"V")+COUNTIF($J$12,"V")+COUNTIF($J$16,"V")+COUNTIF($J$31,"V")</f>
        <v>0</v>
      </c>
      <c r="G7" s="4">
        <f>COUNTIF($B$19,"E")+COUNTIF($B$24,"E")+COUNTIF($B$27,"E")+COUNTIF($J$12,"E")+COUNTIF($J$16,"E")+COUNTIF($J$31,"E")</f>
        <v>0</v>
      </c>
      <c r="H7" s="4">
        <f>COUNTIF($B$19,"D")+COUNTIF($B$24,"D")+COUNTIF($B$27,"D")+COUNTIF($J$12,"D")+COUNTIF($J$16,"D")+COUNTIF($J$31,"D")</f>
        <v>1</v>
      </c>
      <c r="I7" s="4">
        <f>$D$19+$D$27+$D$24+$F$31+$F$12+$F$16</f>
        <v>0</v>
      </c>
      <c r="J7" s="4">
        <f>$D$12+$D$31+$D$16+$F$19+$F$27+$F$24</f>
        <v>1</v>
      </c>
      <c r="K7" s="4">
        <f>I7-J7</f>
        <v>-1</v>
      </c>
    </row>
    <row r="8" spans="1:11" x14ac:dyDescent="0.25">
      <c r="C8" s="4" t="s">
        <v>23</v>
      </c>
      <c r="D8" s="4">
        <f>F8*3+G8</f>
        <v>0</v>
      </c>
      <c r="E8" s="4">
        <f>SUM(F8:H8)</f>
        <v>0</v>
      </c>
      <c r="F8" s="4">
        <f>COUNTIF($B$15,"V")+COUNTIF($B$23,"V")+COUNTIF($B$32,"V")+COUNTIF($J$19,"V")+COUNTIF($J$26,"V")+COUNTIF($J$28,"V")</f>
        <v>0</v>
      </c>
      <c r="G8" s="4">
        <f>COUNTIF($B$15,"E")+COUNTIF($B$23,"E")+COUNTIF($B$32,"E")+COUNTIF($J$19,"E")+COUNTIF($J$26,"E")+COUNTIF($J$28,"E")</f>
        <v>0</v>
      </c>
      <c r="H8" s="4">
        <f>COUNTIF($B$15,"D")+COUNTIF($B$23,"D")+COUNTIF($B$32,"D")+COUNTIF($J$19,"D")+COUNTIF($J$26,"D")+COUNTIF($J$28,"D")</f>
        <v>0</v>
      </c>
      <c r="I8" s="4">
        <f>$D$15+$D$23+$D$32+$F$28+$F$19+$F$26</f>
        <v>0</v>
      </c>
      <c r="J8" s="4">
        <f>$F$15+$F$23+$F$32+$D$28+$D$26+$D$19</f>
        <v>0</v>
      </c>
      <c r="K8" s="4">
        <f>I8-J8</f>
        <v>0</v>
      </c>
    </row>
    <row r="9" spans="1:11" x14ac:dyDescent="0.25">
      <c r="C9" s="4" t="s">
        <v>24</v>
      </c>
      <c r="D9" s="4">
        <f>F9*3+G9</f>
        <v>0</v>
      </c>
      <c r="E9" s="4">
        <f>SUM(F9:H9)</f>
        <v>1</v>
      </c>
      <c r="F9" s="4">
        <f>COUNTIF($B$13,"V")+COUNTIF($B$17,"V")+COUNTIF($B$29,"V")+COUNTIF($J$21,"V")+COUNTIF($J$24,"V")+COUNTIF($J$32,"V")</f>
        <v>0</v>
      </c>
      <c r="G9" s="4">
        <f>COUNTIF($B$13,"E")+COUNTIF($B$17,"E")+COUNTIF($B$29,"E")+COUNTIF($J$21,"E")+COUNTIF($J$24,"E")+COUNTIF($J$32,"E")</f>
        <v>0</v>
      </c>
      <c r="H9" s="4">
        <f>COUNTIF($B$13,"D")+COUNTIF($B$17,"D")+COUNTIF($B$29,"D")+COUNTIF($J$21,"D")+COUNTIF($J$24,"D")+COUNTIF($J$32,"D")</f>
        <v>1</v>
      </c>
      <c r="I9" s="4">
        <f>$D$13+$D$17+$D$29+$F$21+$F$24+$F$32</f>
        <v>0</v>
      </c>
      <c r="J9" s="4">
        <f>$F$13+$F$17+$D$21+$D$24+$D$32+$F$29</f>
        <v>3</v>
      </c>
      <c r="K9" s="4">
        <f>I9-J9</f>
        <v>-3</v>
      </c>
    </row>
    <row r="12" spans="1:11" x14ac:dyDescent="0.25">
      <c r="A12" s="15">
        <f>[1]U7_c!A3</f>
        <v>0.375</v>
      </c>
      <c r="B12" t="str">
        <f t="shared" ref="B12:B32" si="0">IF(D12="","-",IF(D12=F12,"E",IF(D12&gt;F12,"V","D")))</f>
        <v>V</v>
      </c>
      <c r="C12" s="1" t="s">
        <v>18</v>
      </c>
      <c r="D12" s="2">
        <v>1</v>
      </c>
      <c r="E12" s="3" t="s">
        <v>7</v>
      </c>
      <c r="F12" s="2">
        <v>0</v>
      </c>
      <c r="G12" s="11" t="s">
        <v>19</v>
      </c>
      <c r="H12" s="16"/>
      <c r="I12" s="16"/>
      <c r="J12" t="str">
        <f t="shared" ref="J12:J32" si="1">IF(F12="","-",IF(F12=D12,"E",IF(F12&gt;D12,"V","D")))</f>
        <v>D</v>
      </c>
    </row>
    <row r="13" spans="1:11" x14ac:dyDescent="0.25">
      <c r="A13" s="15">
        <f>[1]U7_c!A4</f>
        <v>0.3888888888888889</v>
      </c>
      <c r="B13" t="str">
        <f t="shared" si="0"/>
        <v>D</v>
      </c>
      <c r="C13" s="1" t="s">
        <v>24</v>
      </c>
      <c r="D13" s="2">
        <v>0</v>
      </c>
      <c r="E13" s="3" t="s">
        <v>7</v>
      </c>
      <c r="F13" s="2">
        <v>3</v>
      </c>
      <c r="G13" s="11" t="s">
        <v>20</v>
      </c>
      <c r="H13" s="16"/>
      <c r="I13" s="16"/>
      <c r="J13" t="str">
        <f t="shared" si="1"/>
        <v>V</v>
      </c>
    </row>
    <row r="14" spans="1:11" x14ac:dyDescent="0.25">
      <c r="A14" s="15">
        <f>[1]U7_c!A5</f>
        <v>0.40277777777777779</v>
      </c>
      <c r="B14" t="str">
        <f t="shared" si="0"/>
        <v>E</v>
      </c>
      <c r="C14" s="1" t="s">
        <v>21</v>
      </c>
      <c r="D14" s="2">
        <v>0</v>
      </c>
      <c r="E14" s="3" t="s">
        <v>7</v>
      </c>
      <c r="F14" s="2">
        <v>0</v>
      </c>
      <c r="G14" s="11" t="s">
        <v>22</v>
      </c>
      <c r="H14" s="16"/>
      <c r="I14" s="16"/>
      <c r="J14" t="str">
        <f t="shared" si="1"/>
        <v>E</v>
      </c>
    </row>
    <row r="15" spans="1:11" x14ac:dyDescent="0.25">
      <c r="A15" s="15">
        <f>[1]U7_c!A6</f>
        <v>0.41666666666666669</v>
      </c>
      <c r="B15" t="str">
        <f t="shared" si="0"/>
        <v>-</v>
      </c>
      <c r="C15" s="1" t="s">
        <v>23</v>
      </c>
      <c r="D15" s="2"/>
      <c r="E15" s="3" t="s">
        <v>7</v>
      </c>
      <c r="F15" s="2"/>
      <c r="G15" s="11" t="s">
        <v>18</v>
      </c>
      <c r="H15" s="16"/>
      <c r="I15" s="16"/>
      <c r="J15" t="str">
        <f t="shared" si="1"/>
        <v>-</v>
      </c>
    </row>
    <row r="16" spans="1:11" x14ac:dyDescent="0.25">
      <c r="A16" s="15">
        <f>[1]U7_c!A7</f>
        <v>0.43055555555555558</v>
      </c>
      <c r="B16" t="str">
        <f t="shared" si="0"/>
        <v>-</v>
      </c>
      <c r="C16" s="1" t="s">
        <v>20</v>
      </c>
      <c r="D16" s="2"/>
      <c r="E16" s="3" t="s">
        <v>7</v>
      </c>
      <c r="F16" s="2"/>
      <c r="G16" s="11" t="s">
        <v>19</v>
      </c>
      <c r="H16" s="16"/>
      <c r="I16" s="16"/>
      <c r="J16" t="str">
        <f t="shared" si="1"/>
        <v>-</v>
      </c>
    </row>
    <row r="17" spans="1:10" x14ac:dyDescent="0.25">
      <c r="A17" s="15">
        <f>[1]U7_c!A8</f>
        <v>0.44444444444444448</v>
      </c>
      <c r="B17" t="str">
        <f t="shared" si="0"/>
        <v>-</v>
      </c>
      <c r="C17" s="1" t="s">
        <v>24</v>
      </c>
      <c r="D17" s="2"/>
      <c r="E17" s="3" t="s">
        <v>7</v>
      </c>
      <c r="F17" s="2"/>
      <c r="G17" s="11" t="s">
        <v>21</v>
      </c>
      <c r="H17" s="16"/>
      <c r="I17" s="16"/>
      <c r="J17" t="str">
        <f t="shared" si="1"/>
        <v>-</v>
      </c>
    </row>
    <row r="18" spans="1:10" x14ac:dyDescent="0.25">
      <c r="A18" s="15">
        <f>[1]U7_c!A9</f>
        <v>0.45833333333333337</v>
      </c>
      <c r="B18" t="str">
        <f t="shared" si="0"/>
        <v>-</v>
      </c>
      <c r="C18" s="1" t="s">
        <v>22</v>
      </c>
      <c r="D18" s="2"/>
      <c r="E18" s="3" t="s">
        <v>7</v>
      </c>
      <c r="F18" s="2"/>
      <c r="G18" s="11" t="s">
        <v>18</v>
      </c>
      <c r="H18" s="16"/>
      <c r="I18" s="16"/>
      <c r="J18" t="str">
        <f t="shared" si="1"/>
        <v>-</v>
      </c>
    </row>
    <row r="19" spans="1:10" x14ac:dyDescent="0.25">
      <c r="A19" s="15">
        <f>[1]U7_c!A10</f>
        <v>0.47222222222222227</v>
      </c>
      <c r="B19" t="str">
        <f t="shared" si="0"/>
        <v>-</v>
      </c>
      <c r="C19" s="1" t="s">
        <v>19</v>
      </c>
      <c r="D19" s="2"/>
      <c r="E19" s="3" t="s">
        <v>7</v>
      </c>
      <c r="F19" s="2"/>
      <c r="G19" s="11" t="s">
        <v>23</v>
      </c>
      <c r="H19" s="16"/>
      <c r="I19" s="16"/>
      <c r="J19" t="str">
        <f t="shared" si="1"/>
        <v>-</v>
      </c>
    </row>
    <row r="20" spans="1:10" x14ac:dyDescent="0.25">
      <c r="A20" s="15">
        <f>[1]U7_c!A11</f>
        <v>0.48611111111111116</v>
      </c>
      <c r="B20" t="str">
        <f t="shared" si="0"/>
        <v>-</v>
      </c>
      <c r="C20" s="1" t="s">
        <v>20</v>
      </c>
      <c r="D20" s="2"/>
      <c r="E20" s="3" t="s">
        <v>7</v>
      </c>
      <c r="F20" s="2"/>
      <c r="G20" s="11" t="s">
        <v>21</v>
      </c>
      <c r="H20" s="16"/>
      <c r="I20" s="16"/>
      <c r="J20" t="str">
        <f t="shared" si="1"/>
        <v>-</v>
      </c>
    </row>
    <row r="21" spans="1:10" x14ac:dyDescent="0.25">
      <c r="A21" s="15">
        <f>[1]U7_c!A12</f>
        <v>0.5</v>
      </c>
      <c r="B21" t="str">
        <f t="shared" si="0"/>
        <v>-</v>
      </c>
      <c r="C21" s="1" t="s">
        <v>22</v>
      </c>
      <c r="D21" s="2"/>
      <c r="E21" s="3" t="s">
        <v>7</v>
      </c>
      <c r="F21" s="2"/>
      <c r="G21" s="11" t="s">
        <v>24</v>
      </c>
      <c r="H21" s="16"/>
      <c r="I21" s="16"/>
      <c r="J21" t="str">
        <f t="shared" si="1"/>
        <v>-</v>
      </c>
    </row>
    <row r="22" spans="1:10" x14ac:dyDescent="0.25">
      <c r="A22" s="15">
        <f>[1]U7_c!A13</f>
        <v>0.51388888888888884</v>
      </c>
      <c r="B22" t="str">
        <f t="shared" si="0"/>
        <v>-</v>
      </c>
      <c r="C22" s="1" t="s">
        <v>18</v>
      </c>
      <c r="D22" s="2"/>
      <c r="E22" s="3" t="s">
        <v>7</v>
      </c>
      <c r="F22" s="2"/>
      <c r="G22" s="11" t="s">
        <v>20</v>
      </c>
      <c r="H22" s="16"/>
      <c r="I22" s="16"/>
      <c r="J22" t="str">
        <f t="shared" si="1"/>
        <v>-</v>
      </c>
    </row>
    <row r="23" spans="1:10" x14ac:dyDescent="0.25">
      <c r="A23" s="15">
        <f>[1]U7_c!A14</f>
        <v>0.52777777777777768</v>
      </c>
      <c r="B23" t="str">
        <f t="shared" si="0"/>
        <v>-</v>
      </c>
      <c r="C23" s="1" t="s">
        <v>23</v>
      </c>
      <c r="D23" s="2"/>
      <c r="E23" s="3" t="s">
        <v>7</v>
      </c>
      <c r="F23" s="2"/>
      <c r="G23" s="11" t="s">
        <v>22</v>
      </c>
      <c r="H23" s="16"/>
      <c r="I23" s="16"/>
      <c r="J23" t="str">
        <f t="shared" si="1"/>
        <v>-</v>
      </c>
    </row>
    <row r="24" spans="1:10" x14ac:dyDescent="0.25">
      <c r="A24" s="15">
        <f>[1]U7_c!A15</f>
        <v>0.58333333333333337</v>
      </c>
      <c r="B24" t="str">
        <f t="shared" si="0"/>
        <v>-</v>
      </c>
      <c r="C24" s="1" t="s">
        <v>19</v>
      </c>
      <c r="D24" s="2"/>
      <c r="E24" s="3" t="s">
        <v>7</v>
      </c>
      <c r="F24" s="2"/>
      <c r="G24" s="11" t="s">
        <v>24</v>
      </c>
      <c r="H24" s="16"/>
      <c r="I24" s="16"/>
      <c r="J24" t="str">
        <f t="shared" si="1"/>
        <v>-</v>
      </c>
    </row>
    <row r="25" spans="1:10" x14ac:dyDescent="0.25">
      <c r="A25" s="15">
        <f>[1]U7_c!A16</f>
        <v>0.59722222222222221</v>
      </c>
      <c r="B25" t="str">
        <f t="shared" si="0"/>
        <v>-</v>
      </c>
      <c r="C25" s="1" t="s">
        <v>18</v>
      </c>
      <c r="D25" s="2"/>
      <c r="E25" s="3" t="s">
        <v>7</v>
      </c>
      <c r="F25" s="2"/>
      <c r="G25" s="11" t="s">
        <v>21</v>
      </c>
      <c r="H25" s="16"/>
      <c r="I25" s="16"/>
      <c r="J25" t="str">
        <f t="shared" si="1"/>
        <v>-</v>
      </c>
    </row>
    <row r="26" spans="1:10" x14ac:dyDescent="0.25">
      <c r="A26" s="15">
        <f>[1]U7_c!A17</f>
        <v>0.61111111111111105</v>
      </c>
      <c r="B26" t="str">
        <f t="shared" si="0"/>
        <v>-</v>
      </c>
      <c r="C26" s="1" t="s">
        <v>20</v>
      </c>
      <c r="D26" s="2"/>
      <c r="E26" s="3" t="s">
        <v>7</v>
      </c>
      <c r="F26" s="2"/>
      <c r="G26" s="11" t="s">
        <v>23</v>
      </c>
      <c r="H26" s="16"/>
      <c r="I26" s="16"/>
      <c r="J26" t="str">
        <f t="shared" si="1"/>
        <v>-</v>
      </c>
    </row>
    <row r="27" spans="1:10" x14ac:dyDescent="0.25">
      <c r="A27" s="15">
        <f>[1]U7_c!A18</f>
        <v>0.62499999999999989</v>
      </c>
      <c r="B27" t="str">
        <f t="shared" si="0"/>
        <v>-</v>
      </c>
      <c r="C27" s="1" t="s">
        <v>19</v>
      </c>
      <c r="D27" s="2"/>
      <c r="E27" s="3" t="s">
        <v>7</v>
      </c>
      <c r="F27" s="2"/>
      <c r="G27" s="11" t="s">
        <v>22</v>
      </c>
      <c r="H27" s="16"/>
      <c r="I27" s="16"/>
      <c r="J27" t="str">
        <f t="shared" si="1"/>
        <v>-</v>
      </c>
    </row>
    <row r="28" spans="1:10" x14ac:dyDescent="0.25">
      <c r="A28" s="15">
        <f>[1]U7_c!A19</f>
        <v>0.63888888888888873</v>
      </c>
      <c r="B28" t="str">
        <f t="shared" si="0"/>
        <v>-</v>
      </c>
      <c r="C28" s="1" t="s">
        <v>21</v>
      </c>
      <c r="D28" s="2"/>
      <c r="E28" s="3" t="s">
        <v>7</v>
      </c>
      <c r="F28" s="2"/>
      <c r="G28" s="11" t="s">
        <v>23</v>
      </c>
      <c r="H28" s="16"/>
      <c r="I28" s="16"/>
      <c r="J28" t="str">
        <f t="shared" si="1"/>
        <v>-</v>
      </c>
    </row>
    <row r="29" spans="1:10" x14ac:dyDescent="0.25">
      <c r="A29" s="15">
        <f>[1]U7_c!A20</f>
        <v>0.65277777777777757</v>
      </c>
      <c r="B29" t="str">
        <f t="shared" si="0"/>
        <v>-</v>
      </c>
      <c r="C29" s="1" t="s">
        <v>24</v>
      </c>
      <c r="D29" s="2"/>
      <c r="E29" s="3" t="s">
        <v>7</v>
      </c>
      <c r="F29" s="2"/>
      <c r="G29" s="11" t="s">
        <v>18</v>
      </c>
      <c r="H29" s="16"/>
      <c r="I29" s="16"/>
      <c r="J29" t="str">
        <f t="shared" si="1"/>
        <v>-</v>
      </c>
    </row>
    <row r="30" spans="1:10" x14ac:dyDescent="0.25">
      <c r="A30" s="15">
        <f>[1]U7_c!A21</f>
        <v>0.66666666666666641</v>
      </c>
      <c r="B30" t="str">
        <f t="shared" si="0"/>
        <v>-</v>
      </c>
      <c r="C30" s="1" t="s">
        <v>22</v>
      </c>
      <c r="D30" s="2"/>
      <c r="E30" s="3" t="s">
        <v>7</v>
      </c>
      <c r="F30" s="2"/>
      <c r="G30" s="11" t="s">
        <v>20</v>
      </c>
      <c r="H30" s="16"/>
      <c r="I30" s="16"/>
      <c r="J30" t="str">
        <f t="shared" si="1"/>
        <v>-</v>
      </c>
    </row>
    <row r="31" spans="1:10" x14ac:dyDescent="0.25">
      <c r="A31" s="15">
        <f>[1]U7_c!A22</f>
        <v>0.68055555555555525</v>
      </c>
      <c r="B31" t="str">
        <f t="shared" si="0"/>
        <v>-</v>
      </c>
      <c r="C31" s="1" t="s">
        <v>21</v>
      </c>
      <c r="D31" s="2"/>
      <c r="E31" s="3" t="s">
        <v>7</v>
      </c>
      <c r="F31" s="2"/>
      <c r="G31" s="11" t="s">
        <v>19</v>
      </c>
      <c r="H31" s="16"/>
      <c r="I31" s="16"/>
      <c r="J31" t="str">
        <f t="shared" si="1"/>
        <v>-</v>
      </c>
    </row>
    <row r="32" spans="1:10" x14ac:dyDescent="0.25">
      <c r="A32" s="15">
        <f>[1]U7_c!A23</f>
        <v>0.69444444444444409</v>
      </c>
      <c r="B32" t="str">
        <f t="shared" si="0"/>
        <v>-</v>
      </c>
      <c r="C32" s="1" t="s">
        <v>23</v>
      </c>
      <c r="D32" s="2"/>
      <c r="E32" s="3" t="s">
        <v>7</v>
      </c>
      <c r="F32" s="2"/>
      <c r="G32" s="11" t="s">
        <v>24</v>
      </c>
      <c r="H32" s="16"/>
      <c r="I32" s="16"/>
      <c r="J32" t="str">
        <f t="shared" si="1"/>
        <v>-</v>
      </c>
    </row>
  </sheetData>
  <mergeCells count="22">
    <mergeCell ref="G32:I32"/>
    <mergeCell ref="G29:I29"/>
    <mergeCell ref="G30:I30"/>
    <mergeCell ref="G31:I31"/>
    <mergeCell ref="G26:I26"/>
    <mergeCell ref="G27:I27"/>
    <mergeCell ref="G28:I28"/>
    <mergeCell ref="G23:I23"/>
    <mergeCell ref="G24:I24"/>
    <mergeCell ref="G25:I25"/>
    <mergeCell ref="G20:I20"/>
    <mergeCell ref="G21:I21"/>
    <mergeCell ref="G22:I22"/>
    <mergeCell ref="G17:I17"/>
    <mergeCell ref="G18:I18"/>
    <mergeCell ref="G19:I19"/>
    <mergeCell ref="G14:I14"/>
    <mergeCell ref="G15:I15"/>
    <mergeCell ref="G16:I16"/>
    <mergeCell ref="C1:K1"/>
    <mergeCell ref="G12:I12"/>
    <mergeCell ref="G13:I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U7_GB_Botão3_Click">
                <anchor moveWithCells="1" sizeWithCells="1">
                  <from>
                    <xdr:col>11</xdr:col>
                    <xdr:colOff>390525</xdr:colOff>
                    <xdr:row>1</xdr:row>
                    <xdr:rowOff>123825</xdr:rowOff>
                  </from>
                  <to>
                    <xdr:col>13</xdr:col>
                    <xdr:colOff>85725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834FE-2551-48CD-BF09-5775C6B73FF3}">
  <sheetPr codeName="Folha4"/>
  <dimension ref="A1:L32"/>
  <sheetViews>
    <sheetView workbookViewId="0">
      <selection activeCell="F15" sqref="F15"/>
    </sheetView>
  </sheetViews>
  <sheetFormatPr defaultRowHeight="15" x14ac:dyDescent="0.25"/>
  <cols>
    <col min="2" max="2" width="2.28515625" bestFit="1" customWidth="1"/>
    <col min="3" max="3" width="31.28515625" bestFit="1" customWidth="1"/>
    <col min="4" max="4" width="9.28515625" customWidth="1"/>
    <col min="7" max="7" width="9.140625" customWidth="1"/>
    <col min="12" max="12" width="1.7109375" customWidth="1"/>
    <col min="13" max="13" width="23.85546875" bestFit="1" customWidth="1"/>
  </cols>
  <sheetData>
    <row r="1" spans="1:12" ht="18.75" x14ac:dyDescent="0.25">
      <c r="C1" s="7" t="s">
        <v>17</v>
      </c>
      <c r="D1" s="7"/>
      <c r="E1" s="7"/>
      <c r="F1" s="7"/>
      <c r="G1" s="7"/>
      <c r="H1" s="7"/>
      <c r="I1" s="7"/>
      <c r="J1" s="7"/>
      <c r="K1" s="8"/>
      <c r="L1" s="4"/>
    </row>
    <row r="2" spans="1:12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  <c r="L2" s="4"/>
    </row>
    <row r="3" spans="1:12" x14ac:dyDescent="0.25">
      <c r="C3" s="6" t="s">
        <v>31</v>
      </c>
      <c r="D3" s="4">
        <f>F3*3+G3</f>
        <v>3</v>
      </c>
      <c r="E3" s="4">
        <f>SUM(F3:H3)</f>
        <v>1</v>
      </c>
      <c r="F3" s="4">
        <f>COUNTIF($B$13,"V")+COUNTIF($B$26,"V")+COUNTIF($B$30,"V")+COUNTIF($J$16,"V")+COUNTIF($J$20,"V")+COUNTIF($J$22,"V")</f>
        <v>1</v>
      </c>
      <c r="G3" s="4">
        <f>COUNTIF($B$13,"E")+COUNTIF($B$26,"E")+COUNTIF($B$30,"E")+COUNTIF($J$16,"E")+COUNTIF($J$20,"E")+COUNTIF($J$22,"E")</f>
        <v>0</v>
      </c>
      <c r="H3" s="4">
        <f>COUNTIF($B$13,"D")+COUNTIF($B$26,"D")+COUNTIF($B$30,"D")+COUNTIF($J$16,"D")+COUNTIF($J$20,"D")+COUNTIF($J$22,"D")</f>
        <v>0</v>
      </c>
      <c r="I3" s="4">
        <f>$D$13+$D$26+$D$30+$F$22+$F$20+$F$16</f>
        <v>2</v>
      </c>
      <c r="J3" s="4">
        <f>$F$13+$F$26+$F$30+$D$22+$D$20+$D$16</f>
        <v>0</v>
      </c>
      <c r="K3" s="4">
        <f>I3-J3</f>
        <v>2</v>
      </c>
      <c r="L3" s="4"/>
    </row>
    <row r="4" spans="1:12" x14ac:dyDescent="0.25">
      <c r="C4" s="6" t="s">
        <v>2</v>
      </c>
      <c r="D4" s="4">
        <f>F4*3+G4</f>
        <v>3</v>
      </c>
      <c r="E4" s="4">
        <f>SUM(F4:H4)</f>
        <v>1</v>
      </c>
      <c r="F4" s="4">
        <f>COUNTIF($B$17,"V")+COUNTIF($B$20,"V")+COUNTIF($B$28,"V")+COUNTIF($J$14,"V")+COUNTIF($J$25,"V")+COUNTIF($J$31,"V")</f>
        <v>1</v>
      </c>
      <c r="G4" s="4">
        <f>COUNTIF($B$17,"E")+COUNTIF($B$20,"E")+COUNTIF($B$28,"E")+COUNTIF($J$14,"E")+COUNTIF($J$25,"E")+COUNTIF($J$31,"E")</f>
        <v>0</v>
      </c>
      <c r="H4" s="4">
        <f>COUNTIF($B$17,"D")+COUNTIF($B$20,"D")+COUNTIF($B$28,"D")+COUNTIF($J$14,"D")+COUNTIF($J$25,"D")+COUNTIF($J$31,"D")</f>
        <v>0</v>
      </c>
      <c r="I4" s="4">
        <f>$F$14+$F$25+$F$31+$D$28+$D$20+$D$17</f>
        <v>10</v>
      </c>
      <c r="J4" s="4">
        <f>$D$14+$D$31+$D$25+$F$17+$F$20+$F$28</f>
        <v>0</v>
      </c>
      <c r="K4" s="4">
        <f>I4-J4</f>
        <v>10</v>
      </c>
      <c r="L4" s="4"/>
    </row>
    <row r="5" spans="1:12" x14ac:dyDescent="0.25">
      <c r="C5" s="6" t="s">
        <v>30</v>
      </c>
      <c r="D5" s="4">
        <f>F5*3+G5</f>
        <v>1</v>
      </c>
      <c r="E5" s="4">
        <f>SUM(F5:H5)</f>
        <v>1</v>
      </c>
      <c r="F5" s="4">
        <f>COUNTIF($B$12,"V")+COUNTIF($B$16,"V")+COUNTIF($B$31,"V")+COUNTIF($J$19,"V")+COUNTIF($J$27,"V")+COUNTIF($J$24,"V")</f>
        <v>0</v>
      </c>
      <c r="G5" s="4">
        <f>COUNTIF($B$12,"E")+COUNTIF($B$16,"E")+COUNTIF($B$31,"E")+COUNTIF($J$19,"E")+COUNTIF($J$27,"E")+COUNTIF($J$24,"E")</f>
        <v>1</v>
      </c>
      <c r="H5" s="4">
        <f>COUNTIF($B$12,"D")+COUNTIF($B$16,"D")+COUNTIF($B$31,"D")+COUNTIF($J$19,"D")+COUNTIF($J$27,"D")+COUNTIF($J$24,"D")</f>
        <v>0</v>
      </c>
      <c r="I5" s="4">
        <f>$D$12+$D$31+$D$16+$F$27+$F$24+$F$19</f>
        <v>2</v>
      </c>
      <c r="J5" s="4">
        <f>$F$12+$D$19+$D$27+$F$16+$D$24+$F$31</f>
        <v>2</v>
      </c>
      <c r="K5" s="4">
        <f>I5-J5</f>
        <v>0</v>
      </c>
      <c r="L5" s="4"/>
    </row>
    <row r="6" spans="1:12" x14ac:dyDescent="0.25">
      <c r="C6" s="6" t="s">
        <v>0</v>
      </c>
      <c r="D6" s="4">
        <f>F6*3+G6</f>
        <v>1</v>
      </c>
      <c r="E6" s="4">
        <f>SUM(F6:H6)</f>
        <v>1</v>
      </c>
      <c r="F6" s="4">
        <f>COUNTIF($B$15,"V")+COUNTIF($B$22,"V")+COUNTIF($B$25,"V")+COUNTIF($J$12,"V")+COUNTIF($J$18,"V")+COUNTIF($J$29,"V")</f>
        <v>0</v>
      </c>
      <c r="G6" s="4">
        <f>COUNTIF($B$15,"E")+COUNTIF($B$22,"E")+COUNTIF($B$25,"E")+COUNTIF($J$12,"E")+COUNTIF($J$18,"E")+COUNTIF($J$29,"E")</f>
        <v>1</v>
      </c>
      <c r="H6" s="4">
        <f>COUNTIF($B$15,"D")+COUNTIF($B$22,"D")+COUNTIF($B$25,"D")+COUNTIF($J$12,"D")+COUNTIF($J$18,"D")+COUNTIF($J$29,"D")</f>
        <v>0</v>
      </c>
      <c r="I6" s="4">
        <f>$F$12+$F$18+$F$29+$D$22+$D$25+$D$15</f>
        <v>2</v>
      </c>
      <c r="J6" s="4">
        <f>$D$12+$F$15+$D$29+$F$22+$F$25+$D$18</f>
        <v>2</v>
      </c>
      <c r="K6" s="4">
        <f>I6-J6</f>
        <v>0</v>
      </c>
      <c r="L6" s="4"/>
    </row>
    <row r="7" spans="1:12" x14ac:dyDescent="0.25">
      <c r="C7" s="6" t="s">
        <v>22</v>
      </c>
      <c r="D7" s="4">
        <f>F7*3+G7</f>
        <v>0</v>
      </c>
      <c r="E7" s="4">
        <f>SUM(F7:H7)</f>
        <v>1</v>
      </c>
      <c r="F7" s="4">
        <f>COUNTIF($B$24,"V")+COUNTIF($B$21,"V")+COUNTIF($B$29,"V")+COUNTIF($J$13,"V")+COUNTIF($J$17,"V")+COUNTIF($J$32,"V")</f>
        <v>0</v>
      </c>
      <c r="G7" s="4">
        <f>COUNTIF($B$24,"E")+COUNTIF($B$21,"E")+COUNTIF($B$29,"E")+COUNTIF($J$13,"E")+COUNTIF($J$17,"E")+COUNTIF($J$32,"E")</f>
        <v>0</v>
      </c>
      <c r="H7" s="4">
        <f>COUNTIF($B$24,"D")+COUNTIF($B$21,"D")+COUNTIF($B$29,"D")+COUNTIF($J$13,"D")+COUNTIF($J$17,"D")+COUNTIF($J$32,"D")</f>
        <v>1</v>
      </c>
      <c r="I7" s="4">
        <f>$D$21+$D$24+$D$29+$F$32+$F$17+$F$13</f>
        <v>0</v>
      </c>
      <c r="J7" s="4">
        <f>$F$21+$F$24+$D$17+$D$13+$D$32+$F$29</f>
        <v>2</v>
      </c>
      <c r="K7" s="4">
        <f>I7-J7</f>
        <v>-2</v>
      </c>
      <c r="L7" s="4"/>
    </row>
    <row r="8" spans="1:12" x14ac:dyDescent="0.25">
      <c r="C8" s="6" t="s">
        <v>33</v>
      </c>
      <c r="D8" s="4">
        <f>F8*3+G8</f>
        <v>0</v>
      </c>
      <c r="E8" s="4">
        <f>SUM(F8:H8)</f>
        <v>1</v>
      </c>
      <c r="F8" s="4">
        <f>COUNTIF($B$18,"V")+COUNTIF($B$14,"V")+COUNTIF($B$27,"V")+COUNTIF($J$21,"V")+COUNTIF($J$23,"V")+COUNTIF($J$30,"V")</f>
        <v>0</v>
      </c>
      <c r="G8" s="4">
        <f>COUNTIF($B$18,"E")+COUNTIF($B$14,"E")+COUNTIF($B$27,"E")+COUNTIF($J$21,"E")+COUNTIF($J$23,"E")+COUNTIF($J$30,"E")</f>
        <v>0</v>
      </c>
      <c r="H8" s="4">
        <f>COUNTIF($B$18,"D")+COUNTIF($B$14,"D")+COUNTIF($B$27,"D")+COUNTIF($J$21,"D")+COUNTIF($J$23,"D")+COUNTIF($J$30,"D")</f>
        <v>1</v>
      </c>
      <c r="I8" s="4">
        <f>$F$21+$F$23+$F$30+$D$27+$D$14+$D$18</f>
        <v>0</v>
      </c>
      <c r="J8" s="4">
        <f>$D$21+$D$30+$D$23+$F$14+$F$27+$F$18</f>
        <v>10</v>
      </c>
      <c r="K8" s="4">
        <f>I8-J8</f>
        <v>-10</v>
      </c>
      <c r="L8" s="4"/>
    </row>
    <row r="9" spans="1:12" x14ac:dyDescent="0.25">
      <c r="C9" s="6" t="s">
        <v>19</v>
      </c>
      <c r="D9" s="4">
        <f>F9*3+G9</f>
        <v>0</v>
      </c>
      <c r="E9" s="4">
        <f>SUM(F9:H9)</f>
        <v>0</v>
      </c>
      <c r="F9" s="4">
        <f>COUNTIF($B$19,"V")+COUNTIF($B$23,"V")+COUNTIF($B$32,"V")+COUNTIF($J$15,"V")+COUNTIF($J$26,"V")+COUNTIF($J$28,"V")</f>
        <v>0</v>
      </c>
      <c r="G9" s="4">
        <f>COUNTIF($B$19,"E")+COUNTIF($B$23,"E")+COUNTIF($B$32,"E")+COUNTIF($J$15,"E")+COUNTIF($J$26,"E")+COUNTIF($J$28,"E")</f>
        <v>0</v>
      </c>
      <c r="H9" s="4">
        <f>COUNTIF($B$19,"D")+COUNTIF($B$23,"D")+COUNTIF($B$32,"D")+COUNTIF($J$15,"D")+COUNTIF($J$26,"D")+COUNTIF($J$28,"D")</f>
        <v>0</v>
      </c>
      <c r="I9" s="4">
        <f>$D$19+$D$23+$D$32+$F$28+$F$15+$F$26</f>
        <v>0</v>
      </c>
      <c r="J9" s="4">
        <f>$F$19+$F$23+$F$32+$D$28+$D$26+$D$15</f>
        <v>0</v>
      </c>
      <c r="K9" s="4">
        <f>I9-J9</f>
        <v>0</v>
      </c>
      <c r="L9" s="4"/>
    </row>
    <row r="12" spans="1:12" x14ac:dyDescent="0.25">
      <c r="A12" s="15">
        <f>[1]U7_c!A3</f>
        <v>0.375</v>
      </c>
      <c r="B12" t="str">
        <f t="shared" ref="B12:B32" si="0">IF(D12="","-",IF(D12=F12,"E",IF(D12&gt;F12,"V","D")))</f>
        <v>E</v>
      </c>
      <c r="C12" s="1" t="s">
        <v>30</v>
      </c>
      <c r="D12" s="2">
        <v>2</v>
      </c>
      <c r="E12" s="3" t="s">
        <v>7</v>
      </c>
      <c r="F12" s="2">
        <v>2</v>
      </c>
      <c r="G12" s="11" t="s">
        <v>0</v>
      </c>
      <c r="H12" s="12"/>
      <c r="I12" s="12"/>
      <c r="J12" t="str">
        <f t="shared" ref="J12:J32" si="1">IF(F12="","-",IF(F12=D12,"E",IF(F12&gt;D12,"V","D")))</f>
        <v>E</v>
      </c>
    </row>
    <row r="13" spans="1:12" x14ac:dyDescent="0.25">
      <c r="A13" s="15">
        <f>[1]U7_c!A4</f>
        <v>0.3888888888888889</v>
      </c>
      <c r="B13" t="str">
        <f t="shared" si="0"/>
        <v>V</v>
      </c>
      <c r="C13" s="1" t="s">
        <v>31</v>
      </c>
      <c r="D13" s="2">
        <v>2</v>
      </c>
      <c r="E13" s="3" t="s">
        <v>7</v>
      </c>
      <c r="F13" s="2">
        <v>0</v>
      </c>
      <c r="G13" s="11" t="s">
        <v>22</v>
      </c>
      <c r="H13" s="12"/>
      <c r="I13" s="12"/>
      <c r="J13" t="str">
        <f t="shared" si="1"/>
        <v>D</v>
      </c>
    </row>
    <row r="14" spans="1:12" x14ac:dyDescent="0.25">
      <c r="A14" s="15">
        <f>[1]U7_c!A5</f>
        <v>0.40277777777777779</v>
      </c>
      <c r="B14" t="str">
        <f t="shared" si="0"/>
        <v>D</v>
      </c>
      <c r="C14" s="1" t="s">
        <v>33</v>
      </c>
      <c r="D14" s="2">
        <v>0</v>
      </c>
      <c r="E14" s="3" t="s">
        <v>7</v>
      </c>
      <c r="F14" s="2">
        <v>10</v>
      </c>
      <c r="G14" s="11" t="s">
        <v>34</v>
      </c>
      <c r="H14" s="12"/>
      <c r="I14" s="12"/>
      <c r="J14" t="str">
        <f t="shared" si="1"/>
        <v>V</v>
      </c>
    </row>
    <row r="15" spans="1:12" x14ac:dyDescent="0.25">
      <c r="A15" s="15">
        <f>[1]U7_c!A6</f>
        <v>0.41666666666666669</v>
      </c>
      <c r="B15" t="str">
        <f t="shared" si="0"/>
        <v>-</v>
      </c>
      <c r="C15" s="1" t="s">
        <v>0</v>
      </c>
      <c r="D15" s="2"/>
      <c r="E15" s="3" t="s">
        <v>7</v>
      </c>
      <c r="F15" s="2"/>
      <c r="G15" s="13" t="s">
        <v>19</v>
      </c>
      <c r="H15" s="14"/>
      <c r="I15" s="14"/>
      <c r="J15" t="str">
        <f t="shared" si="1"/>
        <v>-</v>
      </c>
    </row>
    <row r="16" spans="1:12" x14ac:dyDescent="0.25">
      <c r="A16" s="15">
        <f>[1]U7_c!A7</f>
        <v>0.43055555555555558</v>
      </c>
      <c r="B16" t="str">
        <f t="shared" si="0"/>
        <v>-</v>
      </c>
      <c r="C16" s="1" t="s">
        <v>30</v>
      </c>
      <c r="D16" s="2"/>
      <c r="E16" s="3" t="s">
        <v>7</v>
      </c>
      <c r="F16" s="2"/>
      <c r="G16" s="11" t="s">
        <v>31</v>
      </c>
      <c r="H16" s="12"/>
      <c r="I16" s="12"/>
      <c r="J16" t="str">
        <f t="shared" si="1"/>
        <v>-</v>
      </c>
    </row>
    <row r="17" spans="1:10" x14ac:dyDescent="0.25">
      <c r="A17" s="15">
        <f>[1]U7_c!A8</f>
        <v>0.44444444444444448</v>
      </c>
      <c r="B17" t="str">
        <f t="shared" si="0"/>
        <v>-</v>
      </c>
      <c r="C17" s="1" t="s">
        <v>34</v>
      </c>
      <c r="D17" s="2"/>
      <c r="E17" s="3" t="s">
        <v>7</v>
      </c>
      <c r="F17" s="2"/>
      <c r="G17" s="11" t="s">
        <v>22</v>
      </c>
      <c r="H17" s="12"/>
      <c r="I17" s="12"/>
      <c r="J17" t="str">
        <f t="shared" si="1"/>
        <v>-</v>
      </c>
    </row>
    <row r="18" spans="1:10" x14ac:dyDescent="0.25">
      <c r="A18" s="15">
        <f>[1]U7_c!A9</f>
        <v>0.45833333333333337</v>
      </c>
      <c r="B18" t="str">
        <f t="shared" si="0"/>
        <v>-</v>
      </c>
      <c r="C18" s="1" t="s">
        <v>33</v>
      </c>
      <c r="D18" s="2"/>
      <c r="E18" s="3" t="s">
        <v>7</v>
      </c>
      <c r="F18" s="2"/>
      <c r="G18" s="11" t="s">
        <v>0</v>
      </c>
      <c r="H18" s="12"/>
      <c r="I18" s="12"/>
      <c r="J18" t="str">
        <f t="shared" si="1"/>
        <v>-</v>
      </c>
    </row>
    <row r="19" spans="1:10" x14ac:dyDescent="0.25">
      <c r="A19" s="15">
        <f>[1]U7_c!A10</f>
        <v>0.47222222222222227</v>
      </c>
      <c r="B19" t="str">
        <f t="shared" si="0"/>
        <v>-</v>
      </c>
      <c r="C19" s="1" t="s">
        <v>19</v>
      </c>
      <c r="D19" s="2"/>
      <c r="E19" s="3" t="s">
        <v>7</v>
      </c>
      <c r="F19" s="2"/>
      <c r="G19" s="11" t="s">
        <v>30</v>
      </c>
      <c r="H19" s="12"/>
      <c r="I19" s="12"/>
      <c r="J19" t="str">
        <f t="shared" si="1"/>
        <v>-</v>
      </c>
    </row>
    <row r="20" spans="1:10" x14ac:dyDescent="0.25">
      <c r="A20" s="15">
        <f>[1]U7_c!A11</f>
        <v>0.48611111111111116</v>
      </c>
      <c r="B20" t="str">
        <f t="shared" si="0"/>
        <v>-</v>
      </c>
      <c r="C20" s="1" t="s">
        <v>34</v>
      </c>
      <c r="D20" s="2"/>
      <c r="E20" s="3" t="s">
        <v>7</v>
      </c>
      <c r="F20" s="2"/>
      <c r="G20" s="11" t="s">
        <v>31</v>
      </c>
      <c r="H20" s="12"/>
      <c r="I20" s="12"/>
      <c r="J20" t="str">
        <f t="shared" si="1"/>
        <v>-</v>
      </c>
    </row>
    <row r="21" spans="1:10" x14ac:dyDescent="0.25">
      <c r="A21" s="15">
        <f>[1]U7_c!A12</f>
        <v>0.5</v>
      </c>
      <c r="B21" t="str">
        <f t="shared" si="0"/>
        <v>-</v>
      </c>
      <c r="C21" s="1" t="s">
        <v>22</v>
      </c>
      <c r="D21" s="2"/>
      <c r="E21" s="3" t="s">
        <v>7</v>
      </c>
      <c r="F21" s="2"/>
      <c r="G21" s="11" t="s">
        <v>33</v>
      </c>
      <c r="H21" s="12"/>
      <c r="I21" s="12"/>
      <c r="J21" t="str">
        <f t="shared" si="1"/>
        <v>-</v>
      </c>
    </row>
    <row r="22" spans="1:10" x14ac:dyDescent="0.25">
      <c r="A22" s="15">
        <f>[1]U7_c!A13</f>
        <v>0.51388888888888884</v>
      </c>
      <c r="B22" t="str">
        <f t="shared" si="0"/>
        <v>-</v>
      </c>
      <c r="C22" s="1" t="s">
        <v>0</v>
      </c>
      <c r="D22" s="2"/>
      <c r="E22" s="3" t="s">
        <v>7</v>
      </c>
      <c r="F22" s="2"/>
      <c r="G22" s="11" t="s">
        <v>31</v>
      </c>
      <c r="H22" s="12"/>
      <c r="I22" s="12"/>
      <c r="J22" t="str">
        <f t="shared" si="1"/>
        <v>-</v>
      </c>
    </row>
    <row r="23" spans="1:10" x14ac:dyDescent="0.25">
      <c r="A23" s="15">
        <f>[1]U7_c!A14</f>
        <v>0.52777777777777768</v>
      </c>
      <c r="B23" t="str">
        <f t="shared" si="0"/>
        <v>-</v>
      </c>
      <c r="C23" s="1" t="s">
        <v>19</v>
      </c>
      <c r="D23" s="2"/>
      <c r="E23" s="3" t="s">
        <v>7</v>
      </c>
      <c r="F23" s="2"/>
      <c r="G23" s="11" t="s">
        <v>33</v>
      </c>
      <c r="H23" s="12"/>
      <c r="I23" s="12"/>
      <c r="J23" t="str">
        <f t="shared" si="1"/>
        <v>-</v>
      </c>
    </row>
    <row r="24" spans="1:10" x14ac:dyDescent="0.25">
      <c r="A24" s="15">
        <f>[1]U7_c!A15</f>
        <v>0.58333333333333337</v>
      </c>
      <c r="B24" t="str">
        <f t="shared" si="0"/>
        <v>-</v>
      </c>
      <c r="C24" s="1" t="s">
        <v>22</v>
      </c>
      <c r="D24" s="2"/>
      <c r="E24" s="3" t="s">
        <v>7</v>
      </c>
      <c r="F24" s="2"/>
      <c r="G24" s="11" t="s">
        <v>30</v>
      </c>
      <c r="H24" s="12"/>
      <c r="I24" s="12"/>
      <c r="J24" t="str">
        <f t="shared" si="1"/>
        <v>-</v>
      </c>
    </row>
    <row r="25" spans="1:10" x14ac:dyDescent="0.25">
      <c r="A25" s="15">
        <f>[1]U7_c!A16</f>
        <v>0.59722222222222221</v>
      </c>
      <c r="B25" t="str">
        <f t="shared" si="0"/>
        <v>-</v>
      </c>
      <c r="C25" s="1" t="s">
        <v>0</v>
      </c>
      <c r="D25" s="2"/>
      <c r="E25" s="3" t="s">
        <v>7</v>
      </c>
      <c r="F25" s="2"/>
      <c r="G25" s="11" t="s">
        <v>34</v>
      </c>
      <c r="H25" s="12"/>
      <c r="I25" s="12"/>
      <c r="J25" t="str">
        <f t="shared" si="1"/>
        <v>-</v>
      </c>
    </row>
    <row r="26" spans="1:10" x14ac:dyDescent="0.25">
      <c r="A26" s="15">
        <f>[1]U7_c!A17</f>
        <v>0.61111111111111105</v>
      </c>
      <c r="B26" t="str">
        <f t="shared" si="0"/>
        <v>-</v>
      </c>
      <c r="C26" s="1" t="s">
        <v>31</v>
      </c>
      <c r="D26" s="2"/>
      <c r="E26" s="3" t="s">
        <v>7</v>
      </c>
      <c r="F26" s="2"/>
      <c r="G26" s="11" t="s">
        <v>19</v>
      </c>
      <c r="H26" s="12"/>
      <c r="I26" s="12"/>
      <c r="J26" t="str">
        <f t="shared" si="1"/>
        <v>-</v>
      </c>
    </row>
    <row r="27" spans="1:10" x14ac:dyDescent="0.25">
      <c r="A27" s="15">
        <f>[1]U7_c!A18</f>
        <v>0.62499999999999989</v>
      </c>
      <c r="B27" t="str">
        <f t="shared" si="0"/>
        <v>-</v>
      </c>
      <c r="C27" s="1" t="s">
        <v>33</v>
      </c>
      <c r="D27" s="2"/>
      <c r="E27" s="3" t="s">
        <v>7</v>
      </c>
      <c r="F27" s="2"/>
      <c r="G27" s="11" t="s">
        <v>30</v>
      </c>
      <c r="H27" s="12"/>
      <c r="I27" s="12"/>
      <c r="J27" t="str">
        <f t="shared" si="1"/>
        <v>-</v>
      </c>
    </row>
    <row r="28" spans="1:10" x14ac:dyDescent="0.25">
      <c r="A28" s="15">
        <f>[1]U7_c!A19</f>
        <v>0.63888888888888873</v>
      </c>
      <c r="B28" t="str">
        <f t="shared" si="0"/>
        <v>-</v>
      </c>
      <c r="C28" s="1" t="s">
        <v>34</v>
      </c>
      <c r="D28" s="2"/>
      <c r="E28" s="3" t="s">
        <v>7</v>
      </c>
      <c r="F28" s="2"/>
      <c r="G28" s="11" t="s">
        <v>19</v>
      </c>
      <c r="H28" s="12"/>
      <c r="I28" s="12"/>
      <c r="J28" t="str">
        <f t="shared" si="1"/>
        <v>-</v>
      </c>
    </row>
    <row r="29" spans="1:10" x14ac:dyDescent="0.25">
      <c r="A29" s="15">
        <f>[1]U7_c!A20</f>
        <v>0.65277777777777757</v>
      </c>
      <c r="B29" t="str">
        <f t="shared" si="0"/>
        <v>-</v>
      </c>
      <c r="C29" s="1" t="s">
        <v>22</v>
      </c>
      <c r="D29" s="2"/>
      <c r="E29" s="3" t="s">
        <v>7</v>
      </c>
      <c r="F29" s="2"/>
      <c r="G29" s="11" t="s">
        <v>0</v>
      </c>
      <c r="H29" s="12"/>
      <c r="I29" s="12"/>
      <c r="J29" t="str">
        <f t="shared" si="1"/>
        <v>-</v>
      </c>
    </row>
    <row r="30" spans="1:10" x14ac:dyDescent="0.25">
      <c r="A30" s="15">
        <f>[1]U7_c!A21</f>
        <v>0.66666666666666641</v>
      </c>
      <c r="B30" t="str">
        <f t="shared" si="0"/>
        <v>-</v>
      </c>
      <c r="C30" s="1" t="s">
        <v>31</v>
      </c>
      <c r="D30" s="2"/>
      <c r="E30" s="3" t="s">
        <v>7</v>
      </c>
      <c r="F30" s="2"/>
      <c r="G30" s="11" t="s">
        <v>33</v>
      </c>
      <c r="H30" s="12"/>
      <c r="I30" s="12"/>
      <c r="J30" t="str">
        <f t="shared" si="1"/>
        <v>-</v>
      </c>
    </row>
    <row r="31" spans="1:10" x14ac:dyDescent="0.25">
      <c r="A31" s="15">
        <f>[1]U7_c!A22</f>
        <v>0.68055555555555525</v>
      </c>
      <c r="B31" t="str">
        <f t="shared" si="0"/>
        <v>-</v>
      </c>
      <c r="C31" s="1" t="s">
        <v>30</v>
      </c>
      <c r="D31" s="2"/>
      <c r="E31" s="3" t="s">
        <v>7</v>
      </c>
      <c r="F31" s="2"/>
      <c r="G31" s="11" t="s">
        <v>34</v>
      </c>
      <c r="H31" s="12"/>
      <c r="I31" s="12"/>
      <c r="J31" t="str">
        <f t="shared" si="1"/>
        <v>-</v>
      </c>
    </row>
    <row r="32" spans="1:10" x14ac:dyDescent="0.25">
      <c r="A32" s="15">
        <f>[1]U7_c!A23</f>
        <v>0.69444444444444409</v>
      </c>
      <c r="B32" t="str">
        <f t="shared" si="0"/>
        <v>-</v>
      </c>
      <c r="C32" s="1" t="s">
        <v>19</v>
      </c>
      <c r="D32" s="2"/>
      <c r="E32" s="3" t="s">
        <v>7</v>
      </c>
      <c r="F32" s="2"/>
      <c r="G32" s="11" t="s">
        <v>22</v>
      </c>
      <c r="H32" s="12"/>
      <c r="I32" s="12"/>
      <c r="J32" t="str">
        <f t="shared" si="1"/>
        <v>-</v>
      </c>
    </row>
  </sheetData>
  <mergeCells count="22">
    <mergeCell ref="G23:I23"/>
    <mergeCell ref="G24:I24"/>
    <mergeCell ref="G25:I25"/>
    <mergeCell ref="G20:I20"/>
    <mergeCell ref="G21:I21"/>
    <mergeCell ref="G22:I22"/>
    <mergeCell ref="G32:I32"/>
    <mergeCell ref="G29:I29"/>
    <mergeCell ref="G30:I30"/>
    <mergeCell ref="G31:I31"/>
    <mergeCell ref="G26:I26"/>
    <mergeCell ref="G27:I27"/>
    <mergeCell ref="G28:I28"/>
    <mergeCell ref="C1:K1"/>
    <mergeCell ref="G18:I18"/>
    <mergeCell ref="G19:I19"/>
    <mergeCell ref="G14:I14"/>
    <mergeCell ref="G15:I15"/>
    <mergeCell ref="G16:I16"/>
    <mergeCell ref="G13:I13"/>
    <mergeCell ref="G12:I12"/>
    <mergeCell ref="G17:I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U9_GA_Botão3_Click">
                <anchor moveWithCells="1" sizeWithCells="1">
                  <from>
                    <xdr:col>12</xdr:col>
                    <xdr:colOff>342900</xdr:colOff>
                    <xdr:row>2</xdr:row>
                    <xdr:rowOff>47625</xdr:rowOff>
                  </from>
                  <to>
                    <xdr:col>12</xdr:col>
                    <xdr:colOff>1457325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ED8BB-5EA6-41DD-B7AF-25495B321BA4}">
  <sheetPr codeName="Folha5"/>
  <dimension ref="A1:K32"/>
  <sheetViews>
    <sheetView workbookViewId="0">
      <selection activeCell="M14" sqref="M14"/>
    </sheetView>
  </sheetViews>
  <sheetFormatPr defaultRowHeight="15" x14ac:dyDescent="0.25"/>
  <cols>
    <col min="2" max="2" width="1.7109375" bestFit="1" customWidth="1"/>
    <col min="3" max="3" width="31.28515625" bestFit="1" customWidth="1"/>
    <col min="11" max="11" width="9.85546875" bestFit="1" customWidth="1"/>
    <col min="13" max="13" width="23.85546875" bestFit="1" customWidth="1"/>
  </cols>
  <sheetData>
    <row r="1" spans="1:11" ht="18.75" x14ac:dyDescent="0.25">
      <c r="C1" s="7" t="s">
        <v>25</v>
      </c>
      <c r="D1" s="7"/>
      <c r="E1" s="7"/>
      <c r="F1" s="7"/>
      <c r="G1" s="7"/>
      <c r="H1" s="7"/>
      <c r="I1" s="7"/>
      <c r="J1" s="7"/>
      <c r="K1" s="8"/>
    </row>
    <row r="2" spans="1:11" x14ac:dyDescent="0.25">
      <c r="C2" s="4" t="s">
        <v>16</v>
      </c>
      <c r="D2" s="4" t="s">
        <v>15</v>
      </c>
      <c r="E2" s="4" t="s">
        <v>11</v>
      </c>
      <c r="F2" s="4" t="s">
        <v>8</v>
      </c>
      <c r="G2" s="4" t="s">
        <v>9</v>
      </c>
      <c r="H2" s="4" t="s">
        <v>10</v>
      </c>
      <c r="I2" s="4" t="s">
        <v>12</v>
      </c>
      <c r="J2" s="4" t="s">
        <v>13</v>
      </c>
      <c r="K2" s="4" t="s">
        <v>14</v>
      </c>
    </row>
    <row r="3" spans="1:11" x14ac:dyDescent="0.25">
      <c r="C3" s="4" t="s">
        <v>32</v>
      </c>
      <c r="D3" s="4">
        <f>F3*3+G3</f>
        <v>3</v>
      </c>
      <c r="E3" s="4">
        <f>SUM(F3:H3)</f>
        <v>1</v>
      </c>
      <c r="F3" s="4">
        <f>COUNTIF($B$12,"V")+COUNTIF($B$16,"V")+COUNTIF($B$31,"V")+COUNTIF($J$19,"V")+COUNTIF($J$24,"V")+COUNTIF($J$27,"V")</f>
        <v>1</v>
      </c>
      <c r="G3" s="4">
        <f>COUNTIF($B$12,"E")+COUNTIF($B$16,"E")+COUNTIF($B$31,"E")+COUNTIF($J$19,"E")+COUNTIF($J$24,"E")+COUNTIF($J$27,"E")</f>
        <v>0</v>
      </c>
      <c r="H3" s="4">
        <f>COUNTIF($B$12,"D")+COUNTIF($B$16,"D")+COUNTIF($B$31,"D")+COUNTIF($J$19,"D")+COUNTIF($J$24,"D")+COUNTIF($J$27,"D")</f>
        <v>0</v>
      </c>
      <c r="I3" s="4">
        <f>$D$12+$D$16+$D$31+$F$27+$F$19+$F$24</f>
        <v>2</v>
      </c>
      <c r="J3" s="4">
        <f>$F$16+$F$12+$F$31+$D$27+$D$24+$D$19</f>
        <v>0</v>
      </c>
      <c r="K3" s="4">
        <f>I3-J3</f>
        <v>2</v>
      </c>
    </row>
    <row r="4" spans="1:11" x14ac:dyDescent="0.25">
      <c r="C4" s="4" t="s">
        <v>6</v>
      </c>
      <c r="D4" s="4">
        <f>F4*3+G4</f>
        <v>3</v>
      </c>
      <c r="E4" s="4">
        <f>SUM(F4:H4)</f>
        <v>1</v>
      </c>
      <c r="F4" s="4">
        <f>COUNTIF($B$24,"V")+COUNTIF($B$29,"V")+COUNTIF($B$21,"V")+COUNTIF($J$13,"V")+COUNTIF($J$17,"V")+COUNTIF($J$32,"V")</f>
        <v>1</v>
      </c>
      <c r="G4" s="4">
        <f>COUNTIF($B$24,"E")+COUNTIF($B$29,"E")+COUNTIF($B$21,"E")+COUNTIF($J$13,"E")+COUNTIF($J$17,"E")+COUNTIF($J$32,"E")</f>
        <v>0</v>
      </c>
      <c r="H4" s="4">
        <f>COUNTIF($B$24,"D")+COUNTIF($B$29,"D")+COUNTIF($B$21,"D")+COUNTIF($J$13,"D")+COUNTIF($J$17,"D")+COUNTIF($J$32,"D")</f>
        <v>0</v>
      </c>
      <c r="I4" s="4">
        <f>$D$24+$D$21+$D$29+$F$32+$F$13+$F$17</f>
        <v>5</v>
      </c>
      <c r="J4" s="4">
        <f>$F$21+$D$13+$D$17+$F$24+$D$32+$F$29</f>
        <v>4</v>
      </c>
      <c r="K4" s="4">
        <f>I4-J4</f>
        <v>1</v>
      </c>
    </row>
    <row r="5" spans="1:11" x14ac:dyDescent="0.25">
      <c r="C5" s="4" t="s">
        <v>29</v>
      </c>
      <c r="D5" s="4">
        <f>F5*3+G5</f>
        <v>3</v>
      </c>
      <c r="E5" s="4">
        <f>SUM(F5:H5)</f>
        <v>1</v>
      </c>
      <c r="F5" s="4">
        <f>COUNTIF($B$17,"V")+COUNTIF($B$20,"V")+COUNTIF($B$28,"V")+COUNTIF($J$25,"V")+COUNTIF($J$31,"V")+COUNTIF($J$14,"V")</f>
        <v>1</v>
      </c>
      <c r="G5" s="4">
        <f>COUNTIF($B$17,"E")+COUNTIF($B$20,"E")+COUNTIF($B$28,"E")+COUNTIF($J$25,"E")+COUNTIF($J$31,"E")+COUNTIF($J$14,"E")</f>
        <v>0</v>
      </c>
      <c r="H5" s="4">
        <f>COUNTIF($B$17,"D")+COUNTIF($B$20,"D")+COUNTIF($B$28,"D")+COUNTIF($J$25,"D")+COUNTIF($J$31,"D")+COUNTIF($J$14,"D")</f>
        <v>0</v>
      </c>
      <c r="I5" s="4">
        <f>$D$17+$D$20+$D$28+$F$31+$F$14+$F$25</f>
        <v>9</v>
      </c>
      <c r="J5" s="4">
        <f>$F$17+$D$14+$D$25+$F$20+$D$31+$F$28</f>
        <v>0</v>
      </c>
      <c r="K5" s="4">
        <f>I5-J5</f>
        <v>9</v>
      </c>
    </row>
    <row r="6" spans="1:11" x14ac:dyDescent="0.25">
      <c r="C6" s="4" t="s">
        <v>28</v>
      </c>
      <c r="D6" s="4">
        <f>F6*3+G6</f>
        <v>0</v>
      </c>
      <c r="E6" s="4">
        <f>SUM(F6:H6)</f>
        <v>1</v>
      </c>
      <c r="F6" s="4">
        <f>COUNTIF($B$15,"V")+COUNTIF($B$25,"V")+COUNTIF($B$22,"V")+COUNTIF($J$12,"V")+COUNTIF($J$18,"V")+COUNTIF($J$29,"V")</f>
        <v>0</v>
      </c>
      <c r="G6" s="4">
        <f>COUNTIF($B$15,"E")+COUNTIF($B$25,"E")+COUNTIF($B$22,"E")+COUNTIF($J$12,"E")+COUNTIF($J$18,"E")+COUNTIF($J$29,"E")</f>
        <v>0</v>
      </c>
      <c r="H6" s="4">
        <f>COUNTIF($B$15,"D")+COUNTIF($B$25,"D")+COUNTIF($B$22,"D")+COUNTIF($J$12,"D")+COUNTIF($J$18,"D")+COUNTIF($J$29,"D")</f>
        <v>1</v>
      </c>
      <c r="I6" s="4">
        <f>$D$15+$D$25+$D$22+$F$29+$F$12+$F$18</f>
        <v>0</v>
      </c>
      <c r="J6" s="4">
        <f>$D$12+$D$29+$D$18+$F$22+$F$15+$F$25</f>
        <v>2</v>
      </c>
      <c r="K6" s="4">
        <f>I6-J6</f>
        <v>-2</v>
      </c>
    </row>
    <row r="7" spans="1:11" x14ac:dyDescent="0.25">
      <c r="C7" s="4" t="s">
        <v>18</v>
      </c>
      <c r="D7" s="4">
        <f>F7*3+G7</f>
        <v>0</v>
      </c>
      <c r="E7" s="4">
        <f>SUM(F7:H7)</f>
        <v>1</v>
      </c>
      <c r="F7" s="4">
        <f>COUNTIF($B$14,"V")+COUNTIF($B$18,"V")+COUNTIF($B$27,"V")+COUNTIF($J$21,"V")+COUNTIF($J$23,"V")+COUNTIF($J$30,"V")</f>
        <v>0</v>
      </c>
      <c r="G7" s="4">
        <f>COUNTIF($B$14,"E")+COUNTIF($B$18,"E")+COUNTIF($B$27,"E")+COUNTIF($J$21,"E")+COUNTIF($J$23,"E")+COUNTIF($J$30,"E")</f>
        <v>0</v>
      </c>
      <c r="H7" s="4">
        <f>COUNTIF($B$14,"D")+COUNTIF($B$18,"D")+COUNTIF($B$27,"D")+COUNTIF($J$21,"D")+COUNTIF($J$23,"D")+COUNTIF($J$30,"D")</f>
        <v>1</v>
      </c>
      <c r="I7" s="4">
        <f>$F$21+$F$23+$F$30+$D$27+$D$18+$D$14</f>
        <v>0</v>
      </c>
      <c r="J7" s="4">
        <f>$F$14+$F$27+$F$18+$D$30+$D$23+$D$21</f>
        <v>9</v>
      </c>
      <c r="K7" s="4">
        <f>I7-J7</f>
        <v>-9</v>
      </c>
    </row>
    <row r="8" spans="1:11" x14ac:dyDescent="0.25">
      <c r="C8" s="4" t="s">
        <v>3</v>
      </c>
      <c r="D8" s="4">
        <f>F8*3+G8</f>
        <v>0</v>
      </c>
      <c r="E8" s="4">
        <f>SUM(F8:H8)</f>
        <v>0</v>
      </c>
      <c r="F8" s="4">
        <f>COUNTIF($B$19,"V")+COUNTIF($B$23,"V")+COUNTIF($B$32,"V")+COUNTIF($J$15,"V")+COUNTIF($J$28,"V")+COUNTIF($J$26,"V")</f>
        <v>0</v>
      </c>
      <c r="G8" s="4">
        <f>COUNTIF($B$19,"E")+COUNTIF($B$23,"E")+COUNTIF($B$32,"E")+COUNTIF($J$15,"E")+COUNTIF($J$28,"E")+COUNTIF($J$26,"E")</f>
        <v>0</v>
      </c>
      <c r="H8" s="4">
        <f>COUNTIF($B$19,"D")+COUNTIF($B$23,"D")+COUNTIF($B$32,"D")+COUNTIF($J$15,"D")+COUNTIF($J$28,"D")+COUNTIF($J$26,"D")</f>
        <v>0</v>
      </c>
      <c r="I8" s="4">
        <f>$D$19+$D$23+$D$32+$F$28+$F$26+$F$15</f>
        <v>0</v>
      </c>
      <c r="J8" s="4">
        <f>$F$19+$F$23+$F$32+$D$28+$D$26+$D$15</f>
        <v>0</v>
      </c>
      <c r="K8" s="4">
        <f>I8-J8</f>
        <v>0</v>
      </c>
    </row>
    <row r="9" spans="1:11" x14ac:dyDescent="0.25">
      <c r="C9" s="4" t="s">
        <v>5</v>
      </c>
      <c r="D9" s="4">
        <f>F9*3+G9</f>
        <v>0</v>
      </c>
      <c r="E9" s="4">
        <f>SUM(F9:H9)</f>
        <v>1</v>
      </c>
      <c r="F9" s="4">
        <f>COUNTIF($B$13,"V")+COUNTIF($B$26,"V")+COUNTIF($B$30,"V")+COUNTIF($J$20,"V")+COUNTIF($J$22,"V")+COUNTIF($J$32,"V")</f>
        <v>0</v>
      </c>
      <c r="G9" s="4">
        <f>COUNTIF($B$13,"E")+COUNTIF($B$26,"E")+COUNTIF($B$30,"E")+COUNTIF($J$20,"E")+COUNTIF($J$22,"E")+COUNTIF($J$32,"E")</f>
        <v>0</v>
      </c>
      <c r="H9" s="4">
        <f>COUNTIF($B$13,"D")+COUNTIF($B$26,"D")+COUNTIF($B$30,"D")+COUNTIF($J$20,"D")+COUNTIF($J$22,"D")+COUNTIF($J$32,"D")</f>
        <v>1</v>
      </c>
      <c r="I9" s="4">
        <f>$D$13+$D$26+$D$30+$F$16+$F$20+$F$22</f>
        <v>4</v>
      </c>
      <c r="J9" s="4">
        <f>$F$13+$F$26+$D$20+$D$22+$D$16+$F$30</f>
        <v>5</v>
      </c>
      <c r="K9" s="4">
        <f>I9-J9</f>
        <v>-1</v>
      </c>
    </row>
    <row r="12" spans="1:11" x14ac:dyDescent="0.25">
      <c r="A12" s="15">
        <f>[1]U7_c!A3</f>
        <v>0.375</v>
      </c>
      <c r="B12" t="str">
        <f t="shared" ref="B12:B32" si="0">IF(D12="","-",IF(D12=F12,"E",IF(D12&gt;F12,"V","D")))</f>
        <v>V</v>
      </c>
      <c r="C12" s="1" t="s">
        <v>32</v>
      </c>
      <c r="D12" s="2">
        <v>2</v>
      </c>
      <c r="E12" s="3" t="s">
        <v>7</v>
      </c>
      <c r="F12" s="2">
        <v>0</v>
      </c>
      <c r="G12" s="11" t="s">
        <v>28</v>
      </c>
      <c r="H12" s="12"/>
      <c r="I12" s="12"/>
      <c r="J12" t="str">
        <f t="shared" ref="J12:J32" si="1">IF(F12="","-",IF(F12=D12,"E",IF(F12&gt;D12,"V","D")))</f>
        <v>D</v>
      </c>
    </row>
    <row r="13" spans="1:11" x14ac:dyDescent="0.25">
      <c r="A13" s="15">
        <f>[1]U7_c!A4</f>
        <v>0.3888888888888889</v>
      </c>
      <c r="B13" t="str">
        <f t="shared" si="0"/>
        <v>D</v>
      </c>
      <c r="C13" s="1" t="s">
        <v>5</v>
      </c>
      <c r="D13" s="2">
        <v>4</v>
      </c>
      <c r="E13" s="3" t="s">
        <v>7</v>
      </c>
      <c r="F13" s="2">
        <v>5</v>
      </c>
      <c r="G13" s="11" t="s">
        <v>6</v>
      </c>
      <c r="H13" s="12"/>
      <c r="I13" s="12"/>
      <c r="J13" t="str">
        <f t="shared" si="1"/>
        <v>V</v>
      </c>
    </row>
    <row r="14" spans="1:11" x14ac:dyDescent="0.25">
      <c r="A14" s="15">
        <f>[1]U7_c!A5</f>
        <v>0.40277777777777779</v>
      </c>
      <c r="B14" t="str">
        <f t="shared" si="0"/>
        <v>D</v>
      </c>
      <c r="C14" s="1" t="s">
        <v>18</v>
      </c>
      <c r="D14" s="2">
        <v>0</v>
      </c>
      <c r="E14" s="3" t="s">
        <v>7</v>
      </c>
      <c r="F14" s="2">
        <v>9</v>
      </c>
      <c r="G14" s="11" t="s">
        <v>29</v>
      </c>
      <c r="H14" s="12"/>
      <c r="I14" s="12"/>
      <c r="J14" t="str">
        <f t="shared" si="1"/>
        <v>V</v>
      </c>
    </row>
    <row r="15" spans="1:11" x14ac:dyDescent="0.25">
      <c r="A15" s="15">
        <f>[1]U7_c!A6</f>
        <v>0.41666666666666669</v>
      </c>
      <c r="B15" t="str">
        <f t="shared" si="0"/>
        <v>-</v>
      </c>
      <c r="C15" s="1" t="s">
        <v>28</v>
      </c>
      <c r="D15" s="2"/>
      <c r="E15" s="3" t="s">
        <v>7</v>
      </c>
      <c r="F15" s="2"/>
      <c r="G15" s="11" t="s">
        <v>3</v>
      </c>
      <c r="H15" s="12"/>
      <c r="I15" s="12"/>
      <c r="J15" t="str">
        <f t="shared" si="1"/>
        <v>-</v>
      </c>
    </row>
    <row r="16" spans="1:11" x14ac:dyDescent="0.25">
      <c r="A16" s="15">
        <f>[1]U7_c!A7</f>
        <v>0.43055555555555558</v>
      </c>
      <c r="B16" t="str">
        <f t="shared" si="0"/>
        <v>-</v>
      </c>
      <c r="C16" s="1" t="s">
        <v>32</v>
      </c>
      <c r="D16" s="2"/>
      <c r="E16" s="3" t="s">
        <v>7</v>
      </c>
      <c r="F16" s="2"/>
      <c r="G16" s="11" t="s">
        <v>5</v>
      </c>
      <c r="H16" s="12"/>
      <c r="I16" s="12"/>
      <c r="J16" t="str">
        <f t="shared" si="1"/>
        <v>-</v>
      </c>
    </row>
    <row r="17" spans="1:10" x14ac:dyDescent="0.25">
      <c r="A17" s="15">
        <f>[1]U7_c!A8</f>
        <v>0.44444444444444448</v>
      </c>
      <c r="B17" t="str">
        <f t="shared" si="0"/>
        <v>-</v>
      </c>
      <c r="C17" s="1" t="s">
        <v>29</v>
      </c>
      <c r="D17" s="2"/>
      <c r="E17" s="3" t="s">
        <v>7</v>
      </c>
      <c r="F17" s="2"/>
      <c r="G17" s="11" t="s">
        <v>6</v>
      </c>
      <c r="H17" s="12"/>
      <c r="I17" s="12"/>
      <c r="J17" t="str">
        <f t="shared" si="1"/>
        <v>-</v>
      </c>
    </row>
    <row r="18" spans="1:10" x14ac:dyDescent="0.25">
      <c r="A18" s="15">
        <f>[1]U7_c!A9</f>
        <v>0.45833333333333337</v>
      </c>
      <c r="B18" t="str">
        <f t="shared" si="0"/>
        <v>-</v>
      </c>
      <c r="C18" s="1" t="s">
        <v>18</v>
      </c>
      <c r="D18" s="2"/>
      <c r="E18" s="3" t="s">
        <v>7</v>
      </c>
      <c r="F18" s="2"/>
      <c r="G18" s="11" t="s">
        <v>28</v>
      </c>
      <c r="H18" s="12"/>
      <c r="I18" s="12"/>
      <c r="J18" t="str">
        <f t="shared" si="1"/>
        <v>-</v>
      </c>
    </row>
    <row r="19" spans="1:10" x14ac:dyDescent="0.25">
      <c r="A19" s="15">
        <f>[1]U7_c!A10</f>
        <v>0.47222222222222227</v>
      </c>
      <c r="B19" t="str">
        <f t="shared" si="0"/>
        <v>-</v>
      </c>
      <c r="C19" s="1" t="s">
        <v>3</v>
      </c>
      <c r="D19" s="2"/>
      <c r="E19" s="3" t="s">
        <v>7</v>
      </c>
      <c r="F19" s="2"/>
      <c r="G19" s="11" t="s">
        <v>32</v>
      </c>
      <c r="H19" s="12"/>
      <c r="I19" s="12"/>
      <c r="J19" t="str">
        <f t="shared" si="1"/>
        <v>-</v>
      </c>
    </row>
    <row r="20" spans="1:10" x14ac:dyDescent="0.25">
      <c r="A20" s="15">
        <f>[1]U7_c!A11</f>
        <v>0.48611111111111116</v>
      </c>
      <c r="B20" t="str">
        <f t="shared" si="0"/>
        <v>-</v>
      </c>
      <c r="C20" s="1" t="s">
        <v>29</v>
      </c>
      <c r="D20" s="2"/>
      <c r="E20" s="3" t="s">
        <v>7</v>
      </c>
      <c r="F20" s="2"/>
      <c r="G20" s="11" t="s">
        <v>5</v>
      </c>
      <c r="H20" s="12"/>
      <c r="I20" s="12"/>
      <c r="J20" t="str">
        <f t="shared" si="1"/>
        <v>-</v>
      </c>
    </row>
    <row r="21" spans="1:10" x14ac:dyDescent="0.25">
      <c r="A21" s="15">
        <f>[1]U7_c!A12</f>
        <v>0.5</v>
      </c>
      <c r="B21" t="str">
        <f t="shared" si="0"/>
        <v>-</v>
      </c>
      <c r="C21" s="1" t="s">
        <v>6</v>
      </c>
      <c r="D21" s="2"/>
      <c r="E21" s="3" t="s">
        <v>7</v>
      </c>
      <c r="F21" s="2"/>
      <c r="G21" s="11" t="s">
        <v>18</v>
      </c>
      <c r="H21" s="12"/>
      <c r="I21" s="12"/>
      <c r="J21" t="str">
        <f t="shared" si="1"/>
        <v>-</v>
      </c>
    </row>
    <row r="22" spans="1:10" x14ac:dyDescent="0.25">
      <c r="A22" s="15">
        <f>[1]U7_c!A13</f>
        <v>0.51388888888888884</v>
      </c>
      <c r="B22" t="str">
        <f t="shared" si="0"/>
        <v>-</v>
      </c>
      <c r="C22" s="1" t="s">
        <v>28</v>
      </c>
      <c r="D22" s="2"/>
      <c r="E22" s="3" t="s">
        <v>7</v>
      </c>
      <c r="F22" s="2"/>
      <c r="G22" s="11" t="s">
        <v>5</v>
      </c>
      <c r="H22" s="12"/>
      <c r="I22" s="12"/>
      <c r="J22" t="str">
        <f t="shared" si="1"/>
        <v>-</v>
      </c>
    </row>
    <row r="23" spans="1:10" x14ac:dyDescent="0.25">
      <c r="A23" s="15">
        <f>[1]U7_c!A14</f>
        <v>0.52777777777777768</v>
      </c>
      <c r="B23" t="str">
        <f t="shared" si="0"/>
        <v>-</v>
      </c>
      <c r="C23" s="1" t="s">
        <v>3</v>
      </c>
      <c r="D23" s="2"/>
      <c r="E23" s="3" t="s">
        <v>7</v>
      </c>
      <c r="F23" s="2"/>
      <c r="G23" s="11" t="s">
        <v>18</v>
      </c>
      <c r="H23" s="12"/>
      <c r="I23" s="12"/>
      <c r="J23" t="str">
        <f t="shared" si="1"/>
        <v>-</v>
      </c>
    </row>
    <row r="24" spans="1:10" x14ac:dyDescent="0.25">
      <c r="A24" s="15">
        <f>[1]U7_c!A15</f>
        <v>0.58333333333333337</v>
      </c>
      <c r="B24" t="str">
        <f t="shared" si="0"/>
        <v>-</v>
      </c>
      <c r="C24" s="1" t="s">
        <v>6</v>
      </c>
      <c r="D24" s="2"/>
      <c r="E24" s="3" t="s">
        <v>7</v>
      </c>
      <c r="F24" s="2"/>
      <c r="G24" s="11" t="s">
        <v>32</v>
      </c>
      <c r="H24" s="12"/>
      <c r="I24" s="12"/>
      <c r="J24" t="str">
        <f t="shared" si="1"/>
        <v>-</v>
      </c>
    </row>
    <row r="25" spans="1:10" x14ac:dyDescent="0.25">
      <c r="A25" s="15">
        <f>[1]U7_c!A16</f>
        <v>0.59722222222222221</v>
      </c>
      <c r="B25" t="str">
        <f t="shared" si="0"/>
        <v>-</v>
      </c>
      <c r="C25" s="1" t="s">
        <v>28</v>
      </c>
      <c r="D25" s="2"/>
      <c r="E25" s="3" t="s">
        <v>7</v>
      </c>
      <c r="F25" s="2"/>
      <c r="G25" s="11" t="s">
        <v>29</v>
      </c>
      <c r="H25" s="12"/>
      <c r="I25" s="12"/>
      <c r="J25" t="str">
        <f t="shared" si="1"/>
        <v>-</v>
      </c>
    </row>
    <row r="26" spans="1:10" x14ac:dyDescent="0.25">
      <c r="A26" s="15">
        <f>[1]U7_c!A17</f>
        <v>0.61111111111111105</v>
      </c>
      <c r="B26" t="str">
        <f t="shared" si="0"/>
        <v>-</v>
      </c>
      <c r="C26" s="1" t="s">
        <v>5</v>
      </c>
      <c r="D26" s="2"/>
      <c r="E26" s="3" t="s">
        <v>7</v>
      </c>
      <c r="F26" s="2"/>
      <c r="G26" s="11" t="s">
        <v>3</v>
      </c>
      <c r="H26" s="12"/>
      <c r="I26" s="12"/>
      <c r="J26" t="str">
        <f t="shared" si="1"/>
        <v>-</v>
      </c>
    </row>
    <row r="27" spans="1:10" x14ac:dyDescent="0.25">
      <c r="A27" s="15">
        <f>[1]U7_c!A18</f>
        <v>0.62499999999999989</v>
      </c>
      <c r="B27" t="str">
        <f t="shared" si="0"/>
        <v>-</v>
      </c>
      <c r="C27" s="1" t="s">
        <v>18</v>
      </c>
      <c r="D27" s="2"/>
      <c r="E27" s="3" t="s">
        <v>7</v>
      </c>
      <c r="F27" s="2"/>
      <c r="G27" s="11" t="s">
        <v>32</v>
      </c>
      <c r="H27" s="12"/>
      <c r="I27" s="12"/>
      <c r="J27" t="str">
        <f t="shared" si="1"/>
        <v>-</v>
      </c>
    </row>
    <row r="28" spans="1:10" x14ac:dyDescent="0.25">
      <c r="A28" s="15">
        <f>[1]U7_c!A19</f>
        <v>0.63888888888888873</v>
      </c>
      <c r="B28" t="str">
        <f t="shared" si="0"/>
        <v>-</v>
      </c>
      <c r="C28" s="1" t="s">
        <v>29</v>
      </c>
      <c r="D28" s="2"/>
      <c r="E28" s="3" t="s">
        <v>7</v>
      </c>
      <c r="F28" s="2"/>
      <c r="G28" s="11" t="s">
        <v>3</v>
      </c>
      <c r="H28" s="12"/>
      <c r="I28" s="12"/>
      <c r="J28" t="str">
        <f t="shared" si="1"/>
        <v>-</v>
      </c>
    </row>
    <row r="29" spans="1:10" x14ac:dyDescent="0.25">
      <c r="A29" s="15">
        <f>[1]U7_c!A20</f>
        <v>0.65277777777777757</v>
      </c>
      <c r="B29" t="str">
        <f t="shared" si="0"/>
        <v>-</v>
      </c>
      <c r="C29" s="1" t="s">
        <v>6</v>
      </c>
      <c r="D29" s="2"/>
      <c r="E29" s="3" t="s">
        <v>7</v>
      </c>
      <c r="F29" s="2"/>
      <c r="G29" s="11" t="s">
        <v>28</v>
      </c>
      <c r="H29" s="12"/>
      <c r="I29" s="12"/>
      <c r="J29" t="str">
        <f t="shared" si="1"/>
        <v>-</v>
      </c>
    </row>
    <row r="30" spans="1:10" x14ac:dyDescent="0.25">
      <c r="A30" s="15">
        <f>[1]U7_c!A21</f>
        <v>0.66666666666666641</v>
      </c>
      <c r="B30" t="str">
        <f t="shared" si="0"/>
        <v>-</v>
      </c>
      <c r="C30" s="1" t="s">
        <v>5</v>
      </c>
      <c r="D30" s="2"/>
      <c r="E30" s="3" t="s">
        <v>7</v>
      </c>
      <c r="F30" s="2"/>
      <c r="G30" s="11" t="s">
        <v>18</v>
      </c>
      <c r="H30" s="12"/>
      <c r="I30" s="12"/>
      <c r="J30" t="str">
        <f t="shared" si="1"/>
        <v>-</v>
      </c>
    </row>
    <row r="31" spans="1:10" x14ac:dyDescent="0.25">
      <c r="A31" s="15">
        <f>[1]U7_c!A22</f>
        <v>0.68055555555555525</v>
      </c>
      <c r="B31" t="str">
        <f t="shared" si="0"/>
        <v>-</v>
      </c>
      <c r="C31" s="1" t="s">
        <v>32</v>
      </c>
      <c r="D31" s="2"/>
      <c r="E31" s="3" t="s">
        <v>7</v>
      </c>
      <c r="F31" s="2"/>
      <c r="G31" s="11" t="s">
        <v>29</v>
      </c>
      <c r="H31" s="12"/>
      <c r="I31" s="12"/>
      <c r="J31" t="str">
        <f t="shared" si="1"/>
        <v>-</v>
      </c>
    </row>
    <row r="32" spans="1:10" x14ac:dyDescent="0.25">
      <c r="A32" s="15">
        <f>[1]U7_c!A23</f>
        <v>0.69444444444444409</v>
      </c>
      <c r="B32" t="str">
        <f t="shared" si="0"/>
        <v>-</v>
      </c>
      <c r="C32" s="1" t="s">
        <v>3</v>
      </c>
      <c r="D32" s="2"/>
      <c r="E32" s="3" t="s">
        <v>7</v>
      </c>
      <c r="F32" s="2"/>
      <c r="G32" s="11" t="s">
        <v>6</v>
      </c>
      <c r="H32" s="12"/>
      <c r="I32" s="12"/>
      <c r="J32" t="str">
        <f t="shared" si="1"/>
        <v>-</v>
      </c>
    </row>
  </sheetData>
  <mergeCells count="22">
    <mergeCell ref="G32:I32"/>
    <mergeCell ref="G29:I29"/>
    <mergeCell ref="G30:I30"/>
    <mergeCell ref="G31:I31"/>
    <mergeCell ref="G26:I26"/>
    <mergeCell ref="G27:I27"/>
    <mergeCell ref="G28:I28"/>
    <mergeCell ref="G23:I23"/>
    <mergeCell ref="G24:I24"/>
    <mergeCell ref="G25:I25"/>
    <mergeCell ref="G20:I20"/>
    <mergeCell ref="G21:I21"/>
    <mergeCell ref="G22:I22"/>
    <mergeCell ref="G17:I17"/>
    <mergeCell ref="G18:I18"/>
    <mergeCell ref="G19:I19"/>
    <mergeCell ref="G14:I14"/>
    <mergeCell ref="G15:I15"/>
    <mergeCell ref="G16:I16"/>
    <mergeCell ref="C1:K1"/>
    <mergeCell ref="G12:I12"/>
    <mergeCell ref="G13:I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U9_GB_Botão2_Click">
                <anchor moveWithCells="1" sizeWithCells="1">
                  <from>
                    <xdr:col>11</xdr:col>
                    <xdr:colOff>514350</xdr:colOff>
                    <xdr:row>2</xdr:row>
                    <xdr:rowOff>38100</xdr:rowOff>
                  </from>
                  <to>
                    <xdr:col>12</xdr:col>
                    <xdr:colOff>771525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5</vt:i4>
      </vt:variant>
    </vt:vector>
  </HeadingPairs>
  <TitlesOfParts>
    <vt:vector size="5" baseType="lpstr">
      <vt:lpstr>Pag Ini</vt:lpstr>
      <vt:lpstr>U7_GA</vt:lpstr>
      <vt:lpstr>U7_GB</vt:lpstr>
      <vt:lpstr>U9_GA</vt:lpstr>
      <vt:lpstr>U9_GB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Lopes, Vitor (Viana)</cp:lastModifiedBy>
  <dcterms:created xsi:type="dcterms:W3CDTF">2023-06-08T09:49:04Z</dcterms:created>
  <dcterms:modified xsi:type="dcterms:W3CDTF">2023-06-10T09:19:23Z</dcterms:modified>
</cp:coreProperties>
</file>