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sets\files\"/>
    </mc:Choice>
  </mc:AlternateContent>
  <xr:revisionPtr revIDLastSave="0" documentId="13_ncr:1_{A0F691C5-A98F-4E25-91DF-D412CFD3D4FE}" xr6:coauthVersionLast="36" xr6:coauthVersionMax="36" xr10:uidLastSave="{00000000-0000-0000-0000-000000000000}"/>
  <bookViews>
    <workbookView xWindow="0" yWindow="0" windowWidth="23040" windowHeight="9195" xr2:uid="{00000000-000D-0000-FFFF-FFFF00000000}"/>
  </bookViews>
  <sheets>
    <sheet name="Resultados" sheetId="5" r:id="rId1"/>
    <sheet name="U11_A" sheetId="2" r:id="rId2"/>
    <sheet name="U11_B" sheetId="6" r:id="rId3"/>
    <sheet name="U11_C" sheetId="7" r:id="rId4"/>
    <sheet name="U11_D" sheetId="8" r:id="rId5"/>
    <sheet name="U11_E" sheetId="9" r:id="rId6"/>
    <sheet name="U11_F" sheetId="10" r:id="rId7"/>
    <sheet name="U11_M" sheetId="11" r:id="rId8"/>
    <sheet name="U11_N" sheetId="12" r:id="rId9"/>
  </sheets>
  <definedNames>
    <definedName name="_xlnm._FilterDatabase" localSheetId="1" hidden="1">U11_A!$C$2:$K$2</definedName>
    <definedName name="_xlnm._FilterDatabase" localSheetId="2" hidden="1">U11_B!$C$2:$K$2</definedName>
    <definedName name="_xlnm._FilterDatabase" localSheetId="3" hidden="1">U11_C!$C$2:$K$2</definedName>
    <definedName name="_xlnm._FilterDatabase" localSheetId="4" hidden="1">U11_D!$C$2:$K$2</definedName>
    <definedName name="_xlnm._FilterDatabase" localSheetId="5" hidden="1">U11_E!$C$2:$K$2</definedName>
    <definedName name="_xlnm._FilterDatabase" localSheetId="6" hidden="1">U11_F!$C$2:$K$2</definedName>
    <definedName name="_xlnm._FilterDatabase" localSheetId="7" hidden="1">U11_M!$C$2:$K$2</definedName>
    <definedName name="_xlnm._FilterDatabase" localSheetId="8" hidden="1">U11_N!$C$2:$K$2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2" l="1"/>
  <c r="E5" i="12"/>
  <c r="D4" i="11"/>
  <c r="E4" i="11"/>
  <c r="J11" i="12" l="1"/>
  <c r="G4" i="12" s="1"/>
  <c r="E4" i="12" s="1"/>
  <c r="B11" i="12"/>
  <c r="J10" i="12"/>
  <c r="B10" i="12"/>
  <c r="J9" i="12"/>
  <c r="H5" i="12" s="1"/>
  <c r="B9" i="12"/>
  <c r="J5" i="12"/>
  <c r="I5" i="12"/>
  <c r="K5" i="12" s="1"/>
  <c r="J4" i="12"/>
  <c r="I4" i="12"/>
  <c r="K4" i="12" s="1"/>
  <c r="H4" i="12"/>
  <c r="F4" i="12"/>
  <c r="J3" i="12"/>
  <c r="I3" i="12"/>
  <c r="K3" i="12" s="1"/>
  <c r="H3" i="12"/>
  <c r="G3" i="12"/>
  <c r="F3" i="12"/>
  <c r="E3" i="12" s="1"/>
  <c r="J11" i="11"/>
  <c r="B11" i="11"/>
  <c r="J10" i="11"/>
  <c r="B10" i="11"/>
  <c r="J9" i="11"/>
  <c r="B9" i="11"/>
  <c r="J5" i="11"/>
  <c r="K5" i="11" s="1"/>
  <c r="I5" i="11"/>
  <c r="H5" i="11"/>
  <c r="G5" i="11"/>
  <c r="F5" i="11"/>
  <c r="E5" i="11" s="1"/>
  <c r="K4" i="11"/>
  <c r="J4" i="11"/>
  <c r="I4" i="11"/>
  <c r="H4" i="11"/>
  <c r="G4" i="11"/>
  <c r="F4" i="11"/>
  <c r="J3" i="11"/>
  <c r="K3" i="11" s="1"/>
  <c r="I3" i="11"/>
  <c r="H3" i="11"/>
  <c r="G3" i="11"/>
  <c r="F3" i="11"/>
  <c r="E3" i="11" s="1"/>
  <c r="D4" i="12" l="1"/>
  <c r="D3" i="11"/>
  <c r="D5" i="11"/>
  <c r="F5" i="12"/>
  <c r="G5" i="12"/>
  <c r="D3" i="12"/>
  <c r="J5" i="6" l="1"/>
  <c r="J4" i="6"/>
  <c r="J5" i="8" l="1"/>
  <c r="J4" i="8"/>
  <c r="J3" i="8"/>
  <c r="I3" i="8"/>
  <c r="I5" i="6"/>
  <c r="I4" i="6"/>
  <c r="J3" i="6"/>
  <c r="I3" i="6"/>
  <c r="J4" i="7" l="1"/>
  <c r="I4" i="7"/>
  <c r="J3" i="7"/>
  <c r="I3" i="7"/>
  <c r="F4" i="7"/>
  <c r="F3" i="7"/>
  <c r="J5" i="10" l="1"/>
  <c r="I5" i="10"/>
  <c r="H5" i="10"/>
  <c r="G5" i="10"/>
  <c r="F5" i="10"/>
  <c r="J4" i="10"/>
  <c r="I4" i="10"/>
  <c r="J3" i="10"/>
  <c r="I3" i="10"/>
  <c r="H3" i="10"/>
  <c r="G3" i="10"/>
  <c r="F3" i="10"/>
  <c r="F5" i="9"/>
  <c r="H3" i="8"/>
  <c r="G3" i="8"/>
  <c r="F3" i="8"/>
  <c r="I5" i="8"/>
  <c r="I4" i="8"/>
  <c r="J5" i="2" l="1"/>
  <c r="I5" i="2"/>
  <c r="J4" i="2"/>
  <c r="I4" i="2"/>
  <c r="J3" i="2"/>
  <c r="I3" i="2"/>
  <c r="I3" i="9" l="1"/>
  <c r="J5" i="9"/>
  <c r="I5" i="9"/>
  <c r="J4" i="9"/>
  <c r="I4" i="9"/>
  <c r="J3" i="9"/>
  <c r="J11" i="10"/>
  <c r="B11" i="10"/>
  <c r="J10" i="10"/>
  <c r="B10" i="10"/>
  <c r="J9" i="10"/>
  <c r="B9" i="10"/>
  <c r="J11" i="9"/>
  <c r="B11" i="9"/>
  <c r="H5" i="9" s="1"/>
  <c r="J10" i="9"/>
  <c r="F3" i="9" s="1"/>
  <c r="B10" i="9"/>
  <c r="F4" i="9" s="1"/>
  <c r="J9" i="9"/>
  <c r="B9" i="9"/>
  <c r="J11" i="8"/>
  <c r="B11" i="8"/>
  <c r="J10" i="8"/>
  <c r="B10" i="8"/>
  <c r="J9" i="8"/>
  <c r="B9" i="8"/>
  <c r="J11" i="7"/>
  <c r="B11" i="7"/>
  <c r="J10" i="7"/>
  <c r="B10" i="7"/>
  <c r="J9" i="7"/>
  <c r="B9" i="7"/>
  <c r="F5" i="7" s="1"/>
  <c r="H4" i="7"/>
  <c r="G4" i="7"/>
  <c r="J5" i="7"/>
  <c r="I5" i="7"/>
  <c r="J11" i="6"/>
  <c r="B11" i="6"/>
  <c r="J10" i="6"/>
  <c r="B10" i="6"/>
  <c r="J9" i="6"/>
  <c r="B9" i="6"/>
  <c r="G4" i="10" l="1"/>
  <c r="F4" i="10"/>
  <c r="H4" i="10"/>
  <c r="H5" i="8"/>
  <c r="G5" i="8"/>
  <c r="F5" i="8"/>
  <c r="G4" i="8"/>
  <c r="H4" i="8"/>
  <c r="F4" i="8"/>
  <c r="E4" i="8" s="1"/>
  <c r="H4" i="6"/>
  <c r="G4" i="6"/>
  <c r="F4" i="6"/>
  <c r="F3" i="6"/>
  <c r="G3" i="6"/>
  <c r="H3" i="6"/>
  <c r="H5" i="6"/>
  <c r="F5" i="6"/>
  <c r="G5" i="6"/>
  <c r="G4" i="9"/>
  <c r="E4" i="9" s="1"/>
  <c r="H3" i="9"/>
  <c r="D4" i="7"/>
  <c r="K5" i="10"/>
  <c r="K3" i="2"/>
  <c r="K4" i="2"/>
  <c r="K4" i="10"/>
  <c r="K3" i="10"/>
  <c r="K5" i="9"/>
  <c r="K5" i="7"/>
  <c r="K5" i="6"/>
  <c r="K5" i="2"/>
  <c r="H3" i="7"/>
  <c r="G3" i="9"/>
  <c r="E5" i="10"/>
  <c r="K4" i="6"/>
  <c r="H5" i="7"/>
  <c r="D5" i="8"/>
  <c r="E4" i="10"/>
  <c r="G5" i="9"/>
  <c r="E5" i="9" s="1"/>
  <c r="K4" i="7"/>
  <c r="H4" i="9"/>
  <c r="K4" i="9"/>
  <c r="K3" i="9"/>
  <c r="K4" i="8"/>
  <c r="K5" i="8"/>
  <c r="K3" i="8"/>
  <c r="K3" i="7"/>
  <c r="E4" i="7"/>
  <c r="G5" i="7"/>
  <c r="D5" i="7" s="1"/>
  <c r="G3" i="7"/>
  <c r="K3" i="6"/>
  <c r="E5" i="8" l="1"/>
  <c r="E3" i="9"/>
  <c r="D5" i="10"/>
  <c r="D4" i="10"/>
  <c r="D3" i="10"/>
  <c r="D5" i="9"/>
  <c r="D3" i="9"/>
  <c r="D3" i="6"/>
  <c r="D4" i="6"/>
  <c r="D4" i="8"/>
  <c r="E4" i="6"/>
  <c r="E3" i="6"/>
  <c r="E3" i="10"/>
  <c r="D4" i="9"/>
  <c r="E5" i="7"/>
  <c r="D3" i="8"/>
  <c r="E3" i="8"/>
  <c r="D3" i="7"/>
  <c r="E3" i="7"/>
  <c r="D5" i="6"/>
  <c r="E5" i="6"/>
  <c r="J11" i="2" l="1"/>
  <c r="B11" i="2"/>
  <c r="J10" i="2"/>
  <c r="B10" i="2"/>
  <c r="J9" i="2"/>
  <c r="B9" i="2"/>
  <c r="B44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B32" i="5"/>
  <c r="B33" i="5"/>
  <c r="B34" i="5"/>
  <c r="B35" i="5"/>
  <c r="B36" i="5"/>
  <c r="B37" i="5"/>
  <c r="B38" i="5"/>
  <c r="B39" i="5"/>
  <c r="B40" i="5"/>
  <c r="B41" i="5"/>
  <c r="B42" i="5"/>
  <c r="B43" i="5"/>
  <c r="B45" i="5"/>
  <c r="B46" i="5"/>
  <c r="B47" i="5"/>
  <c r="B48" i="5"/>
  <c r="B49" i="5"/>
  <c r="B50" i="5"/>
  <c r="B51" i="5"/>
  <c r="B52" i="5"/>
  <c r="B53" i="5"/>
  <c r="B54" i="5"/>
  <c r="H3" i="5"/>
  <c r="B3" i="5"/>
  <c r="F5" i="2" l="1"/>
  <c r="H5" i="2"/>
  <c r="G5" i="2"/>
  <c r="H4" i="2"/>
  <c r="G4" i="2"/>
  <c r="F4" i="2"/>
  <c r="F3" i="2"/>
  <c r="G3" i="2"/>
  <c r="H3" i="2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E4" i="2" l="1"/>
  <c r="D4" i="2"/>
  <c r="D5" i="2"/>
  <c r="E5" i="2"/>
  <c r="D3" i="2"/>
  <c r="E3" i="2"/>
</calcChain>
</file>

<file path=xl/sharedStrings.xml><?xml version="1.0" encoding="utf-8"?>
<sst xmlns="http://schemas.openxmlformats.org/spreadsheetml/2006/main" count="342" uniqueCount="61">
  <si>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</si>
  <si>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</si>
  <si>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</si>
  <si>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</si>
  <si>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</si>
  <si>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</si>
  <si>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</si>
  <si>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</si>
  <si>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</si>
  <si>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</si>
  <si>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</si>
  <si>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</si>
  <si>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Ancora Praia Fc</t>
  </si>
  <si>
    <t>GD Areosense</t>
  </si>
  <si>
    <t>Desportivo de Monção</t>
  </si>
  <si>
    <t>CD Lousado</t>
  </si>
  <si>
    <t>FC Famalicão</t>
  </si>
  <si>
    <t>Brito Sport Clube</t>
  </si>
  <si>
    <t>Unfc Maia</t>
  </si>
  <si>
    <t>1ºC</t>
  </si>
  <si>
    <t>3ºB</t>
  </si>
  <si>
    <t>CD Ponte</t>
  </si>
  <si>
    <t>AC Bougadense</t>
  </si>
  <si>
    <t>Desportivo de Ronfe</t>
  </si>
  <si>
    <t>“Os Afonsinhos - Didaxis”</t>
  </si>
  <si>
    <t>1ºD</t>
  </si>
  <si>
    <t>3ºF</t>
  </si>
  <si>
    <t>1ºF</t>
  </si>
  <si>
    <t>Sabado</t>
  </si>
  <si>
    <t>2ºC</t>
  </si>
  <si>
    <t>1ºG</t>
  </si>
  <si>
    <t>1ºH</t>
  </si>
  <si>
    <t>1ºI</t>
  </si>
  <si>
    <t>Vencedores grupo M</t>
  </si>
  <si>
    <t>Vencedores grupo N</t>
  </si>
  <si>
    <t>1ºJ</t>
  </si>
  <si>
    <t>1ºK</t>
  </si>
  <si>
    <t>1ºL</t>
  </si>
  <si>
    <t>Campo Nº1</t>
  </si>
  <si>
    <t>Domingo</t>
  </si>
  <si>
    <t>Campo Nº2</t>
  </si>
  <si>
    <t>-</t>
  </si>
  <si>
    <t>UD São Verissimo</t>
  </si>
  <si>
    <t>CC Os Torreenses</t>
  </si>
  <si>
    <t>Acad. Sporting Esmoriz</t>
  </si>
  <si>
    <t>Acad. Sporting de Vizela</t>
  </si>
  <si>
    <t>Grupo E</t>
  </si>
  <si>
    <t>Grupo G</t>
  </si>
  <si>
    <t>Grupo H</t>
  </si>
  <si>
    <t>2ºb</t>
  </si>
  <si>
    <t>2c</t>
  </si>
  <si>
    <t>3E</t>
  </si>
  <si>
    <t>2D</t>
  </si>
  <si>
    <t>U. Nogueirense FC</t>
  </si>
  <si>
    <t>1e</t>
  </si>
  <si>
    <t>3d</t>
  </si>
  <si>
    <t xml:space="preserve"> </t>
  </si>
  <si>
    <t>Grupo K</t>
  </si>
  <si>
    <t>Grupo L</t>
  </si>
  <si>
    <t>Grupo I</t>
  </si>
  <si>
    <t>Grupo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</si>
</sst>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theme="8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6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6" fillId="0" borderId="0" xfId="0" applyFont="1"/>
    <xf numFmtId="0" fontId="0" fillId="5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0" fillId="0" borderId="6" xfId="0" applyBorder="1"/>
    <xf numFmtId="0" fontId="2" fillId="0" borderId="0" xfId="0" applyFont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4" borderId="7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2">
    <cellStyle name="Cálculo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Q54"/>
  <sheetViews>
    <sheetView tabSelected="1" topLeftCell="A22" workbookViewId="0">
      <selection activeCell="L39" sqref="L39"/>
    </sheetView>
  </sheetViews>
  <sheetFormatPr defaultRowHeight="15" x14ac:dyDescent="0.25"/>
  <cols>
    <col min="3" max="3" width="41.140625" bestFit="1" customWidth="1"/>
    <col min="7" max="7" width="28.42578125" bestFit="1" customWidth="1"/>
  </cols>
  <sheetData>
    <row r="2" spans="1:13" x14ac:dyDescent="0.25">
      <c r="A2" t="s">
        <v>28</v>
      </c>
      <c r="C2" s="17" t="s">
        <v>38</v>
      </c>
    </row>
    <row r="3" spans="1:13" x14ac:dyDescent="0.25">
      <c r="A3" s="5">
        <v>0.44444444444444442</v>
      </c>
      <c r="B3" t="str">
        <f>IF(D3="","-",IF(D3=F3,"E",IF(D3&gt;F3,"V","D")))</f>
        <v>D</v>
      </c>
      <c r="C3" s="1" t="s">
        <v>0</v>
      </c>
      <c r="D3" s="2">
        <v>0</v>
      </c>
      <c r="E3" s="3" t="s">
        <v>2</v>
      </c>
      <c r="F3" s="2">
        <v>1</v>
      </c>
      <c r="G3" s="1" t="s">
        <v>16</v>
      </c>
      <c r="H3" t="str">
        <f>IF(F3="","-",IF(F3=D3,"E",IF(F3&gt;D3,"V","D")))</f>
        <v>V</v>
      </c>
    </row>
    <row r="4" spans="1:13" x14ac:dyDescent="0.25">
      <c r="A4" s="5">
        <v>0.46180555555555552</v>
      </c>
      <c r="B4" t="str">
        <f t="shared" ref="B4:B54" si="0">IF(D4="","-",IF(D4=F4,"E",IF(D4&gt;F4,"V","D")))</f>
        <v>V</v>
      </c>
      <c r="C4" s="1" t="s">
        <v>12</v>
      </c>
      <c r="D4" s="2">
        <v>2</v>
      </c>
      <c r="E4" s="3" t="s">
        <v>2</v>
      </c>
      <c r="F4" s="2">
        <v>0</v>
      </c>
      <c r="G4" s="1" t="s">
        <v>42</v>
      </c>
      <c r="H4" t="str">
        <f t="shared" ref="H4:H53" si="1">IF(F4="","-",IF(F4=D4,"E",IF(F4&gt;D4,"V","D")))</f>
        <v>D</v>
      </c>
    </row>
    <row r="5" spans="1:13" x14ac:dyDescent="0.25">
      <c r="A5" s="5">
        <v>0.47916666666666663</v>
      </c>
      <c r="B5" t="str">
        <f t="shared" si="0"/>
        <v>D</v>
      </c>
      <c r="C5" s="1" t="s">
        <v>43</v>
      </c>
      <c r="D5" s="2">
        <v>1</v>
      </c>
      <c r="E5" s="3" t="s">
        <v>2</v>
      </c>
      <c r="F5" s="2">
        <v>3</v>
      </c>
      <c r="G5" s="1" t="s">
        <v>44</v>
      </c>
      <c r="H5" t="str">
        <f t="shared" si="1"/>
        <v>V</v>
      </c>
    </row>
    <row r="6" spans="1:13" x14ac:dyDescent="0.25">
      <c r="A6" s="5">
        <v>0.49652777777777773</v>
      </c>
      <c r="B6" t="str">
        <f t="shared" si="0"/>
        <v>E</v>
      </c>
      <c r="C6" s="1" t="s">
        <v>0</v>
      </c>
      <c r="D6" s="2">
        <v>1</v>
      </c>
      <c r="E6" s="3" t="s">
        <v>2</v>
      </c>
      <c r="F6" s="2">
        <v>1</v>
      </c>
      <c r="G6" s="1" t="s">
        <v>17</v>
      </c>
      <c r="H6" t="str">
        <f t="shared" si="1"/>
        <v>E</v>
      </c>
      <c r="K6" s="10"/>
    </row>
    <row r="7" spans="1:13" x14ac:dyDescent="0.25">
      <c r="A7" s="5">
        <v>0.51388888888888884</v>
      </c>
      <c r="B7" t="str">
        <f t="shared" si="0"/>
        <v>E</v>
      </c>
      <c r="C7" s="1" t="s">
        <v>12</v>
      </c>
      <c r="D7" s="2">
        <v>2</v>
      </c>
      <c r="E7" s="3" t="s">
        <v>2</v>
      </c>
      <c r="F7" s="2">
        <v>2</v>
      </c>
      <c r="G7" s="1" t="s">
        <v>18</v>
      </c>
      <c r="H7" t="str">
        <f t="shared" si="1"/>
        <v>E</v>
      </c>
    </row>
    <row r="8" spans="1:13" x14ac:dyDescent="0.25">
      <c r="A8" s="5">
        <v>0.53125</v>
      </c>
      <c r="B8" t="str">
        <f t="shared" si="0"/>
        <v>V</v>
      </c>
      <c r="C8" s="1" t="s">
        <v>1</v>
      </c>
      <c r="D8" s="2">
        <v>9</v>
      </c>
      <c r="E8" s="3" t="s">
        <v>2</v>
      </c>
      <c r="F8" s="2">
        <v>0</v>
      </c>
      <c r="G8" s="1" t="s">
        <v>43</v>
      </c>
      <c r="H8" t="str">
        <f t="shared" si="1"/>
        <v>D</v>
      </c>
    </row>
    <row r="9" spans="1:13" x14ac:dyDescent="0.25">
      <c r="A9" s="5">
        <v>0.65277777777777801</v>
      </c>
      <c r="B9" t="str">
        <f t="shared" si="0"/>
        <v>V</v>
      </c>
      <c r="C9" s="1" t="s">
        <v>16</v>
      </c>
      <c r="D9" s="2">
        <v>1</v>
      </c>
      <c r="E9" s="3" t="s">
        <v>2</v>
      </c>
      <c r="F9" s="2">
        <v>0</v>
      </c>
      <c r="G9" s="1" t="s">
        <v>17</v>
      </c>
      <c r="H9" t="str">
        <f t="shared" si="1"/>
        <v>D</v>
      </c>
    </row>
    <row r="10" spans="1:13" x14ac:dyDescent="0.25">
      <c r="A10" s="5">
        <v>0.67013888888888917</v>
      </c>
      <c r="B10" t="str">
        <f t="shared" si="0"/>
        <v>V</v>
      </c>
      <c r="C10" s="1" t="s">
        <v>15</v>
      </c>
      <c r="D10" s="2">
        <v>3</v>
      </c>
      <c r="E10" s="3" t="s">
        <v>2</v>
      </c>
      <c r="F10" s="2">
        <v>0</v>
      </c>
      <c r="G10" s="1" t="s">
        <v>41</v>
      </c>
      <c r="H10" t="str">
        <f t="shared" si="1"/>
        <v>D</v>
      </c>
    </row>
    <row r="11" spans="1:13" x14ac:dyDescent="0.25">
      <c r="A11" s="5">
        <v>0.68750000000000033</v>
      </c>
      <c r="B11" t="str">
        <f t="shared" si="0"/>
        <v>E</v>
      </c>
      <c r="C11" s="1" t="s">
        <v>44</v>
      </c>
      <c r="D11" s="2">
        <v>1</v>
      </c>
      <c r="E11" s="3" t="s">
        <v>2</v>
      </c>
      <c r="F11" s="2">
        <v>1</v>
      </c>
      <c r="G11" s="1" t="s">
        <v>1</v>
      </c>
      <c r="H11" t="str">
        <f t="shared" si="1"/>
        <v>E</v>
      </c>
    </row>
    <row r="12" spans="1:13" x14ac:dyDescent="0.25">
      <c r="A12" s="5">
        <v>0.77430555555555614</v>
      </c>
      <c r="B12" t="str">
        <f t="shared" si="0"/>
        <v>V</v>
      </c>
      <c r="C12" s="1" t="s">
        <v>16</v>
      </c>
      <c r="D12" s="2">
        <v>7</v>
      </c>
      <c r="E12" s="3" t="s">
        <v>2</v>
      </c>
      <c r="F12" s="2">
        <v>0</v>
      </c>
      <c r="G12" s="1" t="s">
        <v>42</v>
      </c>
      <c r="H12" t="str">
        <f t="shared" si="1"/>
        <v>D</v>
      </c>
    </row>
    <row r="13" spans="1:13" x14ac:dyDescent="0.25">
      <c r="A13" s="5">
        <v>0.7916666666666673</v>
      </c>
      <c r="B13" t="str">
        <f t="shared" si="0"/>
        <v>V</v>
      </c>
      <c r="C13" s="1" t="s">
        <v>12</v>
      </c>
      <c r="D13" s="2">
        <v>3</v>
      </c>
      <c r="E13" s="3" t="s">
        <v>2</v>
      </c>
      <c r="F13" s="2">
        <v>0</v>
      </c>
      <c r="G13" s="1" t="s">
        <v>41</v>
      </c>
      <c r="H13" t="str">
        <f t="shared" si="1"/>
        <v>D</v>
      </c>
      <c r="M13" s="10"/>
    </row>
    <row r="14" spans="1:13" x14ac:dyDescent="0.25">
      <c r="A14" s="5">
        <v>0.80902777777777846</v>
      </c>
      <c r="B14" t="str">
        <f t="shared" si="0"/>
        <v>V</v>
      </c>
      <c r="C14" s="1" t="s">
        <v>1</v>
      </c>
      <c r="D14" s="2">
        <v>3</v>
      </c>
      <c r="E14" s="3" t="s">
        <v>2</v>
      </c>
      <c r="F14" s="2">
        <v>0</v>
      </c>
      <c r="G14" s="1" t="s">
        <v>13</v>
      </c>
      <c r="H14" t="str">
        <f t="shared" si="1"/>
        <v>D</v>
      </c>
    </row>
    <row r="15" spans="1:13" x14ac:dyDescent="0.25">
      <c r="A15" s="5"/>
      <c r="B15" t="str">
        <f t="shared" si="0"/>
        <v>-</v>
      </c>
      <c r="C15" s="1"/>
      <c r="D15" s="2"/>
      <c r="E15" s="3"/>
      <c r="F15" s="2"/>
      <c r="G15" s="6"/>
      <c r="H15" t="str">
        <f t="shared" si="1"/>
        <v>-</v>
      </c>
    </row>
    <row r="16" spans="1:13" x14ac:dyDescent="0.25">
      <c r="A16" s="5"/>
      <c r="B16" t="str">
        <f t="shared" si="0"/>
        <v>-</v>
      </c>
      <c r="C16" s="1"/>
      <c r="D16" s="2"/>
      <c r="E16" s="3"/>
      <c r="F16" s="2"/>
      <c r="G16" s="6"/>
      <c r="H16" t="str">
        <f t="shared" si="1"/>
        <v>-</v>
      </c>
    </row>
    <row r="17" spans="1:17" x14ac:dyDescent="0.25">
      <c r="A17" s="5"/>
      <c r="B17" t="str">
        <f t="shared" si="0"/>
        <v>-</v>
      </c>
      <c r="C17" s="1"/>
      <c r="D17" s="2"/>
      <c r="E17" s="3"/>
      <c r="F17" s="2"/>
      <c r="G17" s="6"/>
      <c r="H17" t="str">
        <f t="shared" si="1"/>
        <v>-</v>
      </c>
      <c r="M17" s="10"/>
    </row>
    <row r="18" spans="1:17" x14ac:dyDescent="0.25">
      <c r="A18" t="s">
        <v>28</v>
      </c>
      <c r="B18" t="str">
        <f t="shared" si="0"/>
        <v>-</v>
      </c>
      <c r="C18" s="17" t="s">
        <v>40</v>
      </c>
      <c r="D18" s="2"/>
      <c r="E18" s="3"/>
      <c r="F18" s="2"/>
      <c r="G18" s="6"/>
      <c r="H18" t="str">
        <f t="shared" si="1"/>
        <v>-</v>
      </c>
      <c r="K18" s="10"/>
      <c r="M18" s="10"/>
    </row>
    <row r="19" spans="1:17" x14ac:dyDescent="0.25">
      <c r="A19" s="5">
        <v>0.44444444444444442</v>
      </c>
      <c r="B19" t="str">
        <f t="shared" si="0"/>
        <v>D</v>
      </c>
      <c r="C19" s="1" t="s">
        <v>14</v>
      </c>
      <c r="D19" s="2">
        <v>0</v>
      </c>
      <c r="E19" s="3" t="s">
        <v>2</v>
      </c>
      <c r="F19" s="2">
        <v>2</v>
      </c>
      <c r="G19" s="1" t="s">
        <v>15</v>
      </c>
      <c r="H19" t="str">
        <f t="shared" si="1"/>
        <v>V</v>
      </c>
      <c r="Q19" s="10"/>
    </row>
    <row r="20" spans="1:17" x14ac:dyDescent="0.25">
      <c r="A20" s="5">
        <v>0.46180555555555552</v>
      </c>
      <c r="B20" t="str">
        <f t="shared" si="0"/>
        <v>D</v>
      </c>
      <c r="C20" s="1" t="s">
        <v>13</v>
      </c>
      <c r="D20" s="2">
        <v>0</v>
      </c>
      <c r="E20" s="3" t="s">
        <v>2</v>
      </c>
      <c r="F20" s="2">
        <v>2</v>
      </c>
      <c r="G20" s="1" t="s">
        <v>21</v>
      </c>
      <c r="H20" t="str">
        <f t="shared" si="1"/>
        <v>V</v>
      </c>
    </row>
    <row r="21" spans="1:17" x14ac:dyDescent="0.25">
      <c r="A21" s="5">
        <v>0.47916666666666663</v>
      </c>
      <c r="B21" t="str">
        <f t="shared" si="0"/>
        <v>E</v>
      </c>
      <c r="C21" s="1" t="s">
        <v>22</v>
      </c>
      <c r="D21" s="2">
        <v>1</v>
      </c>
      <c r="E21" s="3" t="s">
        <v>2</v>
      </c>
      <c r="F21" s="2">
        <v>1</v>
      </c>
      <c r="G21" s="1" t="s">
        <v>23</v>
      </c>
      <c r="H21" t="str">
        <f t="shared" si="1"/>
        <v>E</v>
      </c>
    </row>
    <row r="22" spans="1:17" x14ac:dyDescent="0.25">
      <c r="A22" s="5">
        <v>0.49652777777777773</v>
      </c>
      <c r="B22" t="str">
        <f t="shared" si="0"/>
        <v>V</v>
      </c>
      <c r="C22" s="1" t="s">
        <v>14</v>
      </c>
      <c r="D22" s="2">
        <v>3</v>
      </c>
      <c r="E22" s="3" t="s">
        <v>2</v>
      </c>
      <c r="F22" s="2">
        <v>0</v>
      </c>
      <c r="G22" s="1" t="s">
        <v>41</v>
      </c>
      <c r="H22" t="str">
        <f t="shared" si="1"/>
        <v>D</v>
      </c>
    </row>
    <row r="23" spans="1:17" x14ac:dyDescent="0.25">
      <c r="A23" s="5">
        <v>0.51388888888888884</v>
      </c>
      <c r="B23" t="str">
        <f t="shared" si="0"/>
        <v>V</v>
      </c>
      <c r="C23" s="1" t="s">
        <v>24</v>
      </c>
      <c r="D23" s="2">
        <v>4</v>
      </c>
      <c r="E23" s="3" t="s">
        <v>2</v>
      </c>
      <c r="F23" s="2">
        <v>0</v>
      </c>
      <c r="G23" s="1" t="s">
        <v>13</v>
      </c>
      <c r="H23" t="str">
        <f t="shared" si="1"/>
        <v>D</v>
      </c>
      <c r="K23" s="10"/>
    </row>
    <row r="24" spans="1:17" x14ac:dyDescent="0.25">
      <c r="A24" s="5">
        <v>0.53125</v>
      </c>
      <c r="B24" t="str">
        <f t="shared" si="0"/>
        <v>E</v>
      </c>
      <c r="C24" s="1" t="s">
        <v>22</v>
      </c>
      <c r="D24" s="2">
        <v>1</v>
      </c>
      <c r="E24" s="3" t="s">
        <v>2</v>
      </c>
      <c r="F24" s="2">
        <v>1</v>
      </c>
      <c r="G24" s="1" t="s">
        <v>45</v>
      </c>
      <c r="H24" t="str">
        <f t="shared" si="1"/>
        <v>E</v>
      </c>
    </row>
    <row r="25" spans="1:17" x14ac:dyDescent="0.25">
      <c r="A25" s="5">
        <v>0.65277777777777801</v>
      </c>
      <c r="B25" t="str">
        <f t="shared" si="0"/>
        <v>E</v>
      </c>
      <c r="C25" s="1" t="s">
        <v>42</v>
      </c>
      <c r="D25" s="2">
        <v>1</v>
      </c>
      <c r="E25" s="3" t="s">
        <v>2</v>
      </c>
      <c r="F25" s="2">
        <v>1</v>
      </c>
      <c r="G25" s="1" t="s">
        <v>18</v>
      </c>
      <c r="H25" t="str">
        <f t="shared" si="1"/>
        <v>E</v>
      </c>
    </row>
    <row r="26" spans="1:17" x14ac:dyDescent="0.25">
      <c r="A26" s="5">
        <v>0.67013888888888917</v>
      </c>
      <c r="B26" t="str">
        <f t="shared" si="0"/>
        <v>E</v>
      </c>
      <c r="C26" s="1" t="s">
        <v>21</v>
      </c>
      <c r="D26" s="2">
        <v>1</v>
      </c>
      <c r="E26" s="3" t="s">
        <v>2</v>
      </c>
      <c r="F26" s="2">
        <v>1</v>
      </c>
      <c r="G26" s="1" t="s">
        <v>24</v>
      </c>
      <c r="H26" t="str">
        <f t="shared" si="1"/>
        <v>E</v>
      </c>
      <c r="P26" s="10"/>
    </row>
    <row r="27" spans="1:17" x14ac:dyDescent="0.25">
      <c r="A27" s="5">
        <v>0.68750000000000033</v>
      </c>
      <c r="B27" t="str">
        <f t="shared" si="0"/>
        <v>E</v>
      </c>
      <c r="C27" s="1" t="s">
        <v>23</v>
      </c>
      <c r="D27" s="2">
        <v>0</v>
      </c>
      <c r="E27" s="3" t="s">
        <v>2</v>
      </c>
      <c r="F27" s="2">
        <v>0</v>
      </c>
      <c r="G27" s="1" t="s">
        <v>45</v>
      </c>
      <c r="H27" t="str">
        <f t="shared" si="1"/>
        <v>E</v>
      </c>
    </row>
    <row r="28" spans="1:17" x14ac:dyDescent="0.25">
      <c r="A28" s="5">
        <v>0.77430555555555614</v>
      </c>
      <c r="B28" t="str">
        <f t="shared" si="0"/>
        <v>D</v>
      </c>
      <c r="C28" s="1" t="s">
        <v>15</v>
      </c>
      <c r="D28" s="2">
        <v>0</v>
      </c>
      <c r="E28" s="3" t="s">
        <v>2</v>
      </c>
      <c r="F28" s="2">
        <v>1</v>
      </c>
      <c r="G28" s="1" t="s">
        <v>0</v>
      </c>
      <c r="H28" t="str">
        <f t="shared" si="1"/>
        <v>V</v>
      </c>
    </row>
    <row r="29" spans="1:17" x14ac:dyDescent="0.25">
      <c r="A29" s="5">
        <v>0.7916666666666673</v>
      </c>
      <c r="B29" t="str">
        <f t="shared" si="0"/>
        <v>D</v>
      </c>
      <c r="C29" s="1" t="s">
        <v>24</v>
      </c>
      <c r="D29" s="2">
        <v>0</v>
      </c>
      <c r="E29" s="3" t="s">
        <v>2</v>
      </c>
      <c r="F29" s="2">
        <v>3</v>
      </c>
      <c r="G29" s="1" t="s">
        <v>45</v>
      </c>
      <c r="H29" t="str">
        <f t="shared" si="1"/>
        <v>V</v>
      </c>
    </row>
    <row r="30" spans="1:17" x14ac:dyDescent="0.25">
      <c r="A30" s="5">
        <v>0.80902777777777846</v>
      </c>
      <c r="B30" t="str">
        <f t="shared" si="0"/>
        <v>V</v>
      </c>
      <c r="C30" s="1" t="s">
        <v>22</v>
      </c>
      <c r="D30" s="2">
        <v>3</v>
      </c>
      <c r="E30" s="3" t="s">
        <v>2</v>
      </c>
      <c r="F30" s="2">
        <v>0</v>
      </c>
      <c r="G30" s="1" t="s">
        <v>43</v>
      </c>
      <c r="H30" t="str">
        <f t="shared" si="1"/>
        <v>D</v>
      </c>
    </row>
    <row r="31" spans="1:17" x14ac:dyDescent="0.25">
      <c r="A31" s="5"/>
      <c r="B31" t="str">
        <f t="shared" si="0"/>
        <v>-</v>
      </c>
      <c r="C31" s="1"/>
      <c r="D31" s="2"/>
      <c r="E31" s="3"/>
      <c r="F31" s="2"/>
      <c r="G31" s="6"/>
      <c r="H31" t="str">
        <f t="shared" si="1"/>
        <v>-</v>
      </c>
    </row>
    <row r="32" spans="1:17" x14ac:dyDescent="0.25">
      <c r="A32" t="s">
        <v>39</v>
      </c>
      <c r="B32" t="str">
        <f t="shared" si="0"/>
        <v>-</v>
      </c>
      <c r="C32" s="17" t="s">
        <v>38</v>
      </c>
      <c r="H32" t="str">
        <f t="shared" si="1"/>
        <v>-</v>
      </c>
    </row>
    <row r="33" spans="1:13" x14ac:dyDescent="0.25">
      <c r="A33" s="5">
        <v>0.375</v>
      </c>
      <c r="B33" t="str">
        <f t="shared" si="0"/>
        <v>D</v>
      </c>
      <c r="C33" s="1" t="s">
        <v>23</v>
      </c>
      <c r="D33" s="2">
        <v>0</v>
      </c>
      <c r="E33" s="3" t="s">
        <v>2</v>
      </c>
      <c r="F33" s="2">
        <v>4</v>
      </c>
      <c r="G33" s="1" t="s">
        <v>16</v>
      </c>
      <c r="H33" t="str">
        <f t="shared" si="1"/>
        <v>V</v>
      </c>
    </row>
    <row r="34" spans="1:13" x14ac:dyDescent="0.25">
      <c r="A34" s="5">
        <v>0.3923611111111111</v>
      </c>
      <c r="B34" t="str">
        <f t="shared" si="0"/>
        <v>V</v>
      </c>
      <c r="C34" s="1" t="s">
        <v>44</v>
      </c>
      <c r="D34" s="2">
        <v>3</v>
      </c>
      <c r="E34" s="3" t="s">
        <v>2</v>
      </c>
      <c r="F34" s="2">
        <v>0</v>
      </c>
      <c r="G34" s="1" t="s">
        <v>15</v>
      </c>
      <c r="H34" t="str">
        <f t="shared" si="1"/>
        <v>D</v>
      </c>
    </row>
    <row r="35" spans="1:13" x14ac:dyDescent="0.25">
      <c r="A35" s="5">
        <v>0.40972222222222221</v>
      </c>
      <c r="B35" t="str">
        <f t="shared" si="0"/>
        <v>D</v>
      </c>
      <c r="C35" s="1" t="s">
        <v>14</v>
      </c>
      <c r="D35" s="2">
        <v>0</v>
      </c>
      <c r="E35" s="3" t="s">
        <v>2</v>
      </c>
      <c r="F35" s="2">
        <v>4</v>
      </c>
      <c r="G35" s="1" t="s">
        <v>1</v>
      </c>
      <c r="H35" t="str">
        <f t="shared" si="1"/>
        <v>V</v>
      </c>
    </row>
    <row r="36" spans="1:13" x14ac:dyDescent="0.25">
      <c r="A36" s="5">
        <v>0.50694444444444442</v>
      </c>
      <c r="B36" t="str">
        <f t="shared" si="0"/>
        <v>-</v>
      </c>
      <c r="C36" s="1" t="s">
        <v>42</v>
      </c>
      <c r="D36" s="2"/>
      <c r="F36" s="2"/>
      <c r="G36" s="1" t="s">
        <v>23</v>
      </c>
      <c r="H36" t="str">
        <f t="shared" si="1"/>
        <v>-</v>
      </c>
      <c r="I36" s="26"/>
      <c r="J36" s="26"/>
    </row>
    <row r="37" spans="1:13" x14ac:dyDescent="0.25">
      <c r="A37" s="5">
        <v>0.52430555555555558</v>
      </c>
      <c r="B37" t="str">
        <f t="shared" si="0"/>
        <v>-</v>
      </c>
      <c r="C37" s="1" t="s">
        <v>41</v>
      </c>
      <c r="D37" s="2"/>
      <c r="E37" s="3" t="s">
        <v>2</v>
      </c>
      <c r="F37" s="2"/>
      <c r="G37" s="1" t="s">
        <v>21</v>
      </c>
      <c r="H37" t="str">
        <f t="shared" si="1"/>
        <v>-</v>
      </c>
    </row>
    <row r="38" spans="1:13" x14ac:dyDescent="0.25">
      <c r="A38" s="5">
        <v>0.54166666666666674</v>
      </c>
      <c r="B38" t="str">
        <f t="shared" si="0"/>
        <v>-</v>
      </c>
      <c r="C38" s="1" t="s">
        <v>13</v>
      </c>
      <c r="D38" s="2"/>
      <c r="E38" s="3" t="s">
        <v>2</v>
      </c>
      <c r="F38" s="2"/>
      <c r="G38" s="1" t="s">
        <v>14</v>
      </c>
      <c r="H38" t="str">
        <f t="shared" si="1"/>
        <v>-</v>
      </c>
    </row>
    <row r="39" spans="1:13" x14ac:dyDescent="0.25">
      <c r="A39" s="5">
        <v>0.64583333333333337</v>
      </c>
      <c r="B39" t="str">
        <f t="shared" si="0"/>
        <v>-</v>
      </c>
      <c r="C39" s="1" t="s">
        <v>16</v>
      </c>
      <c r="D39" s="8"/>
      <c r="E39" s="9" t="s">
        <v>2</v>
      </c>
      <c r="F39" s="8"/>
      <c r="G39" s="12" t="s">
        <v>31</v>
      </c>
      <c r="H39" t="str">
        <f t="shared" si="1"/>
        <v>-</v>
      </c>
    </row>
    <row r="40" spans="1:13" x14ac:dyDescent="0.25">
      <c r="A40" s="5">
        <v>0.6840277777777779</v>
      </c>
      <c r="B40" t="str">
        <f t="shared" si="0"/>
        <v>-</v>
      </c>
      <c r="C40" s="1" t="s">
        <v>16</v>
      </c>
      <c r="D40" s="8"/>
      <c r="F40" s="8"/>
      <c r="G40" s="1" t="s">
        <v>12</v>
      </c>
      <c r="H40" t="str">
        <f t="shared" si="1"/>
        <v>-</v>
      </c>
    </row>
    <row r="41" spans="1:13" x14ac:dyDescent="0.25">
      <c r="A41" s="5">
        <v>0.71875000000000022</v>
      </c>
      <c r="B41" t="str">
        <f t="shared" si="0"/>
        <v>-</v>
      </c>
      <c r="C41" s="12" t="s">
        <v>31</v>
      </c>
      <c r="D41" s="8"/>
      <c r="E41" s="9"/>
      <c r="F41" s="8"/>
      <c r="G41" s="1" t="s">
        <v>12</v>
      </c>
      <c r="H41" t="str">
        <f t="shared" si="1"/>
        <v>-</v>
      </c>
      <c r="M41" s="26"/>
    </row>
    <row r="42" spans="1:13" x14ac:dyDescent="0.25">
      <c r="A42" s="5">
        <v>0.7743055555555558</v>
      </c>
      <c r="B42" t="str">
        <f t="shared" si="0"/>
        <v>-</v>
      </c>
      <c r="C42" t="s">
        <v>33</v>
      </c>
      <c r="D42" s="8"/>
      <c r="E42" s="9" t="s">
        <v>2</v>
      </c>
      <c r="F42" s="8"/>
      <c r="G42" t="s">
        <v>34</v>
      </c>
      <c r="H42" t="str">
        <f t="shared" si="1"/>
        <v>-</v>
      </c>
    </row>
    <row r="43" spans="1:13" x14ac:dyDescent="0.25">
      <c r="B43" t="str">
        <f t="shared" si="0"/>
        <v>-</v>
      </c>
      <c r="H43" t="str">
        <f t="shared" si="1"/>
        <v>-</v>
      </c>
      <c r="L43" s="26"/>
    </row>
    <row r="44" spans="1:13" x14ac:dyDescent="0.25">
      <c r="A44" t="s">
        <v>39</v>
      </c>
      <c r="B44" t="str">
        <f t="shared" ref="B44" si="2">IF(D44="","-",IF(D44=F44,"E",IF(D44&gt;F44,"V","D")))</f>
        <v>-</v>
      </c>
      <c r="C44" s="17" t="s">
        <v>40</v>
      </c>
      <c r="H44" t="str">
        <f t="shared" si="1"/>
        <v>-</v>
      </c>
      <c r="J44" s="26"/>
      <c r="K44" s="26"/>
    </row>
    <row r="45" spans="1:13" x14ac:dyDescent="0.25">
      <c r="A45" s="5">
        <v>0.375</v>
      </c>
      <c r="B45" t="str">
        <f t="shared" si="0"/>
        <v>D</v>
      </c>
      <c r="C45" s="1" t="s">
        <v>21</v>
      </c>
      <c r="D45" s="2">
        <v>1</v>
      </c>
      <c r="E45" s="3" t="s">
        <v>2</v>
      </c>
      <c r="F45" s="2">
        <v>3</v>
      </c>
      <c r="G45" s="1" t="s">
        <v>12</v>
      </c>
      <c r="H45" t="str">
        <f t="shared" si="1"/>
        <v>V</v>
      </c>
      <c r="J45" s="26"/>
    </row>
    <row r="46" spans="1:13" x14ac:dyDescent="0.25">
      <c r="A46" s="5">
        <v>0.3923611111111111</v>
      </c>
      <c r="B46" t="str">
        <f t="shared" si="0"/>
        <v>D</v>
      </c>
      <c r="C46" s="1" t="s">
        <v>18</v>
      </c>
      <c r="D46" s="2">
        <v>1</v>
      </c>
      <c r="E46" s="3" t="s">
        <v>2</v>
      </c>
      <c r="F46" s="2">
        <v>2</v>
      </c>
      <c r="G46" s="1" t="s">
        <v>24</v>
      </c>
      <c r="H46" t="str">
        <f t="shared" si="1"/>
        <v>V</v>
      </c>
      <c r="J46" s="27"/>
    </row>
    <row r="47" spans="1:13" x14ac:dyDescent="0.25">
      <c r="A47" s="5">
        <v>0.40972222222222221</v>
      </c>
      <c r="B47" t="str">
        <f t="shared" si="0"/>
        <v>V</v>
      </c>
      <c r="C47" s="1" t="s">
        <v>17</v>
      </c>
      <c r="D47" s="2">
        <v>2</v>
      </c>
      <c r="E47" s="3" t="s">
        <v>2</v>
      </c>
      <c r="F47" s="2">
        <v>0</v>
      </c>
      <c r="G47" s="1" t="s">
        <v>22</v>
      </c>
      <c r="H47" t="str">
        <f t="shared" si="1"/>
        <v>D</v>
      </c>
    </row>
    <row r="48" spans="1:13" x14ac:dyDescent="0.25">
      <c r="A48" s="5">
        <v>0.50694444444444442</v>
      </c>
      <c r="B48" t="str">
        <f t="shared" si="0"/>
        <v>-</v>
      </c>
      <c r="C48" s="1" t="s">
        <v>0</v>
      </c>
      <c r="D48" s="2"/>
      <c r="E48" s="3" t="s">
        <v>2</v>
      </c>
      <c r="F48" s="2"/>
      <c r="G48" s="1" t="s">
        <v>44</v>
      </c>
      <c r="H48" t="str">
        <f t="shared" si="1"/>
        <v>-</v>
      </c>
      <c r="L48" s="26"/>
    </row>
    <row r="49" spans="1:12" x14ac:dyDescent="0.25">
      <c r="A49" s="5">
        <v>0.52430555555555558</v>
      </c>
      <c r="B49" t="str">
        <f t="shared" si="0"/>
        <v>-</v>
      </c>
      <c r="C49" s="1" t="s">
        <v>45</v>
      </c>
      <c r="D49" s="2"/>
      <c r="E49" s="3" t="s">
        <v>2</v>
      </c>
      <c r="F49" s="2"/>
      <c r="G49" s="1" t="s">
        <v>18</v>
      </c>
      <c r="H49" t="str">
        <f t="shared" si="1"/>
        <v>-</v>
      </c>
      <c r="L49" s="27"/>
    </row>
    <row r="50" spans="1:12" x14ac:dyDescent="0.25">
      <c r="A50" s="5">
        <v>0.54166666666666674</v>
      </c>
      <c r="B50" t="str">
        <f t="shared" si="0"/>
        <v>-</v>
      </c>
      <c r="C50" s="1" t="s">
        <v>43</v>
      </c>
      <c r="D50" s="2"/>
      <c r="E50" s="3" t="s">
        <v>2</v>
      </c>
      <c r="F50" s="2"/>
      <c r="G50" s="1" t="s">
        <v>17</v>
      </c>
      <c r="H50" t="str">
        <f t="shared" si="1"/>
        <v>-</v>
      </c>
    </row>
    <row r="51" spans="1:12" x14ac:dyDescent="0.25">
      <c r="A51" s="5">
        <v>0.64583333333333337</v>
      </c>
      <c r="B51" t="str">
        <f t="shared" si="0"/>
        <v>-</v>
      </c>
      <c r="C51" s="14" t="s">
        <v>35</v>
      </c>
      <c r="D51" s="8"/>
      <c r="E51" s="9" t="s">
        <v>2</v>
      </c>
      <c r="F51" s="8"/>
      <c r="G51" s="1" t="s">
        <v>1</v>
      </c>
      <c r="H51" t="str">
        <f t="shared" si="1"/>
        <v>-</v>
      </c>
    </row>
    <row r="52" spans="1:12" x14ac:dyDescent="0.25">
      <c r="A52" s="5">
        <v>0.6840277777777779</v>
      </c>
      <c r="B52" t="str">
        <f t="shared" si="0"/>
        <v>-</v>
      </c>
      <c r="C52" s="14" t="s">
        <v>35</v>
      </c>
      <c r="D52" s="8"/>
      <c r="E52" s="9" t="s">
        <v>2</v>
      </c>
      <c r="F52" s="8"/>
      <c r="G52" s="16" t="s">
        <v>37</v>
      </c>
      <c r="H52" t="str">
        <f t="shared" si="1"/>
        <v>-</v>
      </c>
    </row>
    <row r="53" spans="1:12" x14ac:dyDescent="0.25">
      <c r="A53" s="5">
        <v>0.71875000000000022</v>
      </c>
      <c r="B53" t="str">
        <f t="shared" si="0"/>
        <v>-</v>
      </c>
      <c r="C53" s="1" t="s">
        <v>1</v>
      </c>
      <c r="D53" s="8"/>
      <c r="E53" s="9" t="s">
        <v>2</v>
      </c>
      <c r="F53" s="8"/>
      <c r="G53" s="16" t="s">
        <v>37</v>
      </c>
      <c r="H53" t="str">
        <f t="shared" si="1"/>
        <v>-</v>
      </c>
    </row>
    <row r="54" spans="1:12" x14ac:dyDescent="0.25">
      <c r="A54" s="5">
        <v>0.7743055555555558</v>
      </c>
      <c r="B54" t="str">
        <f t="shared" si="0"/>
        <v>-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K56"/>
  <sheetViews>
    <sheetView workbookViewId="0">
      <selection activeCell="C29" sqref="C29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5" t="s">
        <v>47</v>
      </c>
      <c r="D1" s="35"/>
      <c r="E1" s="35"/>
      <c r="F1" s="35"/>
      <c r="G1" s="35"/>
      <c r="H1" s="35"/>
      <c r="I1" s="35"/>
      <c r="J1" s="35"/>
      <c r="K1" s="36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C3" s="1" t="s">
        <v>16</v>
      </c>
      <c r="D3" s="4">
        <f>F3*3+G3</f>
        <v>6</v>
      </c>
      <c r="E3" s="4">
        <f>SUM(F3:H3)</f>
        <v>2</v>
      </c>
      <c r="F3" s="4">
        <f>COUNTIF($B$9,"V")+COUNTIF($J$10,"V")</f>
        <v>2</v>
      </c>
      <c r="G3" s="4">
        <f>COUNTIF($B$9,"E")+COUNTIF($J$10,"E")</f>
        <v>0</v>
      </c>
      <c r="H3" s="4">
        <f>COUNTIF($B$9,"D")+COUNTIF($J$10,"D")</f>
        <v>0</v>
      </c>
      <c r="I3" s="4">
        <f>F10+D9</f>
        <v>11</v>
      </c>
      <c r="J3" s="4">
        <f>F9+D10</f>
        <v>0</v>
      </c>
      <c r="K3" s="4">
        <f>I3-J3</f>
        <v>11</v>
      </c>
    </row>
    <row r="4" spans="1:11" s="4" customFormat="1" x14ac:dyDescent="0.25">
      <c r="C4" s="1" t="s">
        <v>23</v>
      </c>
      <c r="D4" s="4">
        <f>F4*3+G4</f>
        <v>0</v>
      </c>
      <c r="E4" s="4">
        <f>SUM(F4:H4)</f>
        <v>1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1</v>
      </c>
      <c r="I4" s="4">
        <f>F11+D10</f>
        <v>0</v>
      </c>
      <c r="J4" s="4">
        <f>F10+D11</f>
        <v>4</v>
      </c>
      <c r="K4" s="4">
        <f>I4-J4</f>
        <v>-4</v>
      </c>
    </row>
    <row r="5" spans="1:11" s="4" customFormat="1" x14ac:dyDescent="0.25">
      <c r="A5" s="1" t="s">
        <v>42</v>
      </c>
      <c r="C5" s="1" t="s">
        <v>42</v>
      </c>
      <c r="D5" s="4">
        <f>F5*3+G5</f>
        <v>0</v>
      </c>
      <c r="E5" s="4">
        <f>SUM(F5:H5)</f>
        <v>1</v>
      </c>
      <c r="F5" s="4">
        <f>COUNTIF($B$11,"V")+COUNTIF($J$9,"V")</f>
        <v>0</v>
      </c>
      <c r="G5" s="4">
        <f>COUNTIF($B$11,"E")+COUNTIF($J$9,"E")</f>
        <v>0</v>
      </c>
      <c r="H5" s="4">
        <f>COUNTIF($B$11,"D")+COUNTIF($J$9,"D")</f>
        <v>1</v>
      </c>
      <c r="I5" s="4">
        <f>D11+F9</f>
        <v>0</v>
      </c>
      <c r="J5" s="4">
        <f>F11+D9</f>
        <v>7</v>
      </c>
      <c r="K5" s="4">
        <f>I5-J5</f>
        <v>-7</v>
      </c>
    </row>
    <row r="8" spans="1:11" x14ac:dyDescent="0.25">
      <c r="A8" t="s">
        <v>28</v>
      </c>
      <c r="C8" s="17" t="s">
        <v>38</v>
      </c>
    </row>
    <row r="9" spans="1:11" x14ac:dyDescent="0.25">
      <c r="A9" s="5">
        <v>0.77430555555555547</v>
      </c>
      <c r="B9" t="str">
        <f>IF(D9="","-",IF(D9=F9,"E",IF(D9&gt;F9,"V","D")))</f>
        <v>V</v>
      </c>
      <c r="C9" s="1" t="s">
        <v>16</v>
      </c>
      <c r="D9" s="2">
        <v>7</v>
      </c>
      <c r="E9" s="3" t="s">
        <v>2</v>
      </c>
      <c r="F9" s="2">
        <v>0</v>
      </c>
      <c r="G9" s="33" t="s">
        <v>42</v>
      </c>
      <c r="H9" s="37"/>
      <c r="I9" s="37"/>
      <c r="J9" t="str">
        <f>IF(F9="","-",IF(F9=D9,"E",IF(F9&gt;D9,"V","D")))</f>
        <v>D</v>
      </c>
    </row>
    <row r="10" spans="1:11" x14ac:dyDescent="0.25">
      <c r="A10" s="5">
        <v>0.375</v>
      </c>
      <c r="B10" t="str">
        <f t="shared" ref="B10:B11" si="0">IF(D10="","-",IF(D10=F10,"E",IF(D10&gt;F10,"V","D")))</f>
        <v>D</v>
      </c>
      <c r="C10" s="1" t="s">
        <v>23</v>
      </c>
      <c r="D10" s="2">
        <v>0</v>
      </c>
      <c r="E10" s="3" t="s">
        <v>2</v>
      </c>
      <c r="F10" s="2">
        <v>4</v>
      </c>
      <c r="G10" s="33" t="s">
        <v>16</v>
      </c>
      <c r="H10" s="37"/>
      <c r="I10" s="37"/>
      <c r="J10" t="str">
        <f t="shared" ref="J10:J11" si="1">IF(F10="","-",IF(F10=D10,"E",IF(F10&gt;D10,"V","D")))</f>
        <v>V</v>
      </c>
    </row>
    <row r="11" spans="1:11" x14ac:dyDescent="0.25">
      <c r="A11" s="5">
        <v>0.50694444444444442</v>
      </c>
      <c r="B11" t="str">
        <f t="shared" si="0"/>
        <v>-</v>
      </c>
      <c r="C11" s="1" t="s">
        <v>42</v>
      </c>
      <c r="D11" s="2"/>
      <c r="E11" s="3" t="s">
        <v>2</v>
      </c>
      <c r="F11" s="2"/>
      <c r="G11" s="33" t="s">
        <v>23</v>
      </c>
      <c r="H11" s="37"/>
      <c r="I11" s="37"/>
      <c r="J11" t="str">
        <f t="shared" si="1"/>
        <v>-</v>
      </c>
    </row>
    <row r="12" spans="1:11" x14ac:dyDescent="0.25">
      <c r="A12" s="5"/>
      <c r="C12" s="1"/>
      <c r="D12" s="2"/>
      <c r="E12" s="3"/>
      <c r="F12" s="2"/>
      <c r="G12" s="33"/>
      <c r="H12" s="34"/>
      <c r="I12" s="34"/>
    </row>
    <row r="13" spans="1:11" x14ac:dyDescent="0.25">
      <c r="A13" s="5"/>
      <c r="C13" s="1"/>
      <c r="D13" s="2"/>
      <c r="E13" s="3"/>
      <c r="F13" s="2"/>
      <c r="G13" s="33"/>
      <c r="H13" s="34"/>
      <c r="I13" s="34"/>
    </row>
    <row r="14" spans="1:11" x14ac:dyDescent="0.25">
      <c r="A14" s="5"/>
      <c r="C14" s="1"/>
      <c r="D14" s="2"/>
      <c r="E14" s="3"/>
      <c r="F14" s="2"/>
      <c r="G14" s="33"/>
      <c r="H14" s="34"/>
      <c r="I14" s="34"/>
    </row>
    <row r="15" spans="1:11" x14ac:dyDescent="0.25">
      <c r="A15" s="5"/>
      <c r="C15" s="1"/>
      <c r="D15" s="2"/>
      <c r="E15" s="3"/>
      <c r="F15" s="2"/>
      <c r="G15" s="33"/>
      <c r="H15" s="34"/>
      <c r="I15" s="34"/>
    </row>
    <row r="16" spans="1:11" x14ac:dyDescent="0.25">
      <c r="A16" s="5"/>
      <c r="C16" s="1"/>
      <c r="D16" s="2"/>
      <c r="E16" s="3"/>
      <c r="F16" s="2"/>
      <c r="G16" s="33"/>
      <c r="H16" s="34"/>
      <c r="I16" s="34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C99C89F0-903A-4193-BE82-B7E50972BA74}">
    <sortState ref="C3:K5">
      <sortCondition descending="1" ref="D2"/>
    </sortState>
  </autoFilter>
  <mergeCells count="40">
    <mergeCell ref="G43:I43"/>
    <mergeCell ref="G42:I42"/>
    <mergeCell ref="G41:I41"/>
    <mergeCell ref="G40:I40"/>
    <mergeCell ref="G39:I39"/>
    <mergeCell ref="G50:I50"/>
    <mergeCell ref="G49:I49"/>
    <mergeCell ref="G48:I48"/>
    <mergeCell ref="G47:I47"/>
    <mergeCell ref="G44:I44"/>
    <mergeCell ref="G55:I55"/>
    <mergeCell ref="G54:I54"/>
    <mergeCell ref="G53:I53"/>
    <mergeCell ref="G52:I52"/>
    <mergeCell ref="G51:I51"/>
    <mergeCell ref="C1:K1"/>
    <mergeCell ref="G25:I25"/>
    <mergeCell ref="G21:I21"/>
    <mergeCell ref="G22:I22"/>
    <mergeCell ref="G23:I23"/>
    <mergeCell ref="G24:I24"/>
    <mergeCell ref="G13:I13"/>
    <mergeCell ref="G12:I12"/>
    <mergeCell ref="G15:I15"/>
    <mergeCell ref="G14:I14"/>
    <mergeCell ref="G16:I16"/>
    <mergeCell ref="G11:I11"/>
    <mergeCell ref="G10:I10"/>
    <mergeCell ref="G9:I9"/>
    <mergeCell ref="G38:I38"/>
    <mergeCell ref="G26:I26"/>
    <mergeCell ref="G28:I28"/>
    <mergeCell ref="G29:I29"/>
    <mergeCell ref="G30:I30"/>
    <mergeCell ref="G37:I37"/>
    <mergeCell ref="G36:I36"/>
    <mergeCell ref="G35:I35"/>
    <mergeCell ref="G31:I31"/>
    <mergeCell ref="G32:I32"/>
    <mergeCell ref="G27:I2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K56"/>
  <sheetViews>
    <sheetView workbookViewId="0">
      <selection activeCell="J28" sqref="J28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12.5703125" bestFit="1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5" t="s">
        <v>48</v>
      </c>
      <c r="D1" s="35"/>
      <c r="E1" s="35"/>
      <c r="F1" s="35"/>
      <c r="G1" s="35"/>
      <c r="H1" s="35"/>
      <c r="I1" s="35"/>
      <c r="J1" s="35"/>
      <c r="K1" s="36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C3" s="25" t="s">
        <v>0</v>
      </c>
      <c r="D3" s="4">
        <f>F3*3+G3</f>
        <v>3</v>
      </c>
      <c r="E3" s="4">
        <f>SUM(F3:H3)</f>
        <v>1</v>
      </c>
      <c r="F3" s="4">
        <f>COUNTIF($J$9,"V")+COUNTIF($B$11,"V")</f>
        <v>1</v>
      </c>
      <c r="G3" s="4">
        <f>COUNTIF($B$11,"E")+COUNTIF($J$9,"E")</f>
        <v>0</v>
      </c>
      <c r="H3" s="4">
        <f>COUNTIF($J$9,"D")+COUNTIF($B$11,"D")</f>
        <v>0</v>
      </c>
      <c r="I3" s="4">
        <f>D11+F9</f>
        <v>1</v>
      </c>
      <c r="J3" s="4">
        <f>F11+D9</f>
        <v>0</v>
      </c>
      <c r="K3" s="4">
        <f>I3-J3</f>
        <v>1</v>
      </c>
    </row>
    <row r="4" spans="1:11" s="4" customFormat="1" x14ac:dyDescent="0.25">
      <c r="C4" s="1" t="s">
        <v>44</v>
      </c>
      <c r="D4" s="4">
        <f>F4*3+G4</f>
        <v>3</v>
      </c>
      <c r="E4" s="4">
        <f>SUM(F4:H4)</f>
        <v>1</v>
      </c>
      <c r="F4" s="4">
        <f>COUNTIF($B$10,"V")+COUNTIF($J$11,"V")</f>
        <v>1</v>
      </c>
      <c r="G4" s="4">
        <f>COUNTIF($B$10,"E")+COUNTIF($J$11,"E")</f>
        <v>0</v>
      </c>
      <c r="H4" s="4">
        <f>COUNTIF($B$10,"D")+COUNTIF($J$11,"D")</f>
        <v>0</v>
      </c>
      <c r="I4" s="4">
        <f>D10+F11</f>
        <v>3</v>
      </c>
      <c r="J4" s="4">
        <f>F10+D11</f>
        <v>0</v>
      </c>
      <c r="K4" s="4">
        <f>I4-J4</f>
        <v>3</v>
      </c>
    </row>
    <row r="5" spans="1:11" s="4" customFormat="1" x14ac:dyDescent="0.25">
      <c r="C5" s="29" t="s">
        <v>15</v>
      </c>
      <c r="D5" s="4">
        <f>F5*3+G5</f>
        <v>0</v>
      </c>
      <c r="E5" s="4">
        <f>SUM(F5:H5)</f>
        <v>2</v>
      </c>
      <c r="F5" s="4">
        <f>COUNTIF($B$9,"V")+COUNTIF($J$10,"V")</f>
        <v>0</v>
      </c>
      <c r="G5" s="4">
        <f>COUNTIF($B$9,"E")+COUNTIF($J$10,"E")</f>
        <v>0</v>
      </c>
      <c r="H5" s="4">
        <f>COUNTIF($B$9,"D")+COUNTIF($J$10,"D")</f>
        <v>2</v>
      </c>
      <c r="I5" s="4">
        <f>D9+F10</f>
        <v>0</v>
      </c>
      <c r="J5" s="4">
        <f>F9+D10</f>
        <v>4</v>
      </c>
      <c r="K5" s="4">
        <f>I5-J5</f>
        <v>-4</v>
      </c>
    </row>
    <row r="6" spans="1:11" x14ac:dyDescent="0.25">
      <c r="J6" t="s">
        <v>56</v>
      </c>
    </row>
    <row r="8" spans="1:11" x14ac:dyDescent="0.25">
      <c r="A8" t="s">
        <v>28</v>
      </c>
      <c r="C8" s="17" t="s">
        <v>38</v>
      </c>
    </row>
    <row r="9" spans="1:11" x14ac:dyDescent="0.25">
      <c r="A9" s="5">
        <v>0.77430555555555547</v>
      </c>
      <c r="B9" t="str">
        <f>IF(D9="","-",IF(D9=F9,"E",IF(D9&gt;F9,"V","D")))</f>
        <v>D</v>
      </c>
      <c r="C9" s="4" t="s">
        <v>15</v>
      </c>
      <c r="D9" s="2">
        <v>0</v>
      </c>
      <c r="E9" s="3" t="s">
        <v>2</v>
      </c>
      <c r="F9" s="2">
        <v>1</v>
      </c>
      <c r="G9" s="33" t="s">
        <v>0</v>
      </c>
      <c r="H9" s="37"/>
      <c r="I9" s="23"/>
      <c r="J9" t="str">
        <f>IF(F9="","-",IF(F9=D9,"E",IF(F9&gt;D9,"V","D")))</f>
        <v>V</v>
      </c>
    </row>
    <row r="10" spans="1:11" x14ac:dyDescent="0.25">
      <c r="A10" s="5">
        <v>0.3923611111111111</v>
      </c>
      <c r="B10" t="str">
        <f t="shared" ref="B10:B11" si="0">IF(D10="","-",IF(D10=F10,"E",IF(D10&gt;F10,"V","D")))</f>
        <v>V</v>
      </c>
      <c r="C10" s="1" t="s">
        <v>44</v>
      </c>
      <c r="D10" s="2">
        <v>3</v>
      </c>
      <c r="E10" s="3" t="s">
        <v>2</v>
      </c>
      <c r="F10" s="2">
        <v>0</v>
      </c>
      <c r="G10" s="48" t="s">
        <v>15</v>
      </c>
      <c r="H10" s="49"/>
      <c r="I10" s="24"/>
      <c r="J10" t="str">
        <f t="shared" ref="J10:J11" si="1">IF(F10="","-",IF(F10=D10,"E",IF(F10&gt;D10,"V","D")))</f>
        <v>D</v>
      </c>
    </row>
    <row r="11" spans="1:11" x14ac:dyDescent="0.25">
      <c r="A11" s="5">
        <v>0.50694444444444442</v>
      </c>
      <c r="B11" t="str">
        <f t="shared" si="0"/>
        <v>-</v>
      </c>
      <c r="C11" s="1" t="s">
        <v>0</v>
      </c>
      <c r="D11" s="2"/>
      <c r="E11" s="3" t="s">
        <v>2</v>
      </c>
      <c r="F11" s="2"/>
      <c r="G11" s="33" t="s">
        <v>44</v>
      </c>
      <c r="H11" s="37"/>
      <c r="I11" s="23"/>
      <c r="J11" t="str">
        <f t="shared" si="1"/>
        <v>-</v>
      </c>
    </row>
    <row r="12" spans="1:11" x14ac:dyDescent="0.25">
      <c r="A12" s="5"/>
      <c r="C12" s="1"/>
      <c r="D12" s="2"/>
      <c r="E12" s="3"/>
      <c r="F12" s="2"/>
      <c r="G12" s="33"/>
      <c r="H12" s="34"/>
      <c r="I12" s="34"/>
    </row>
    <row r="13" spans="1:11" x14ac:dyDescent="0.25">
      <c r="A13" s="5"/>
      <c r="C13" s="1"/>
      <c r="D13" s="2"/>
      <c r="E13" s="3"/>
      <c r="F13" s="2"/>
      <c r="G13" s="33"/>
      <c r="H13" s="34"/>
      <c r="I13" s="34"/>
    </row>
    <row r="14" spans="1:11" x14ac:dyDescent="0.25">
      <c r="A14" s="5"/>
      <c r="C14" s="1"/>
      <c r="D14" s="2"/>
      <c r="E14" s="3"/>
      <c r="F14" s="2"/>
      <c r="G14" s="33"/>
      <c r="H14" s="34"/>
      <c r="I14" s="34"/>
    </row>
    <row r="15" spans="1:11" x14ac:dyDescent="0.25">
      <c r="A15" s="5"/>
      <c r="C15" s="1"/>
      <c r="D15" s="2"/>
      <c r="E15" s="3"/>
      <c r="F15" s="2"/>
      <c r="G15" s="33"/>
      <c r="H15" s="34"/>
      <c r="I15" s="34"/>
    </row>
    <row r="16" spans="1:11" x14ac:dyDescent="0.25">
      <c r="A16" s="5"/>
      <c r="C16" s="1"/>
      <c r="D16" s="2"/>
      <c r="E16" s="3"/>
      <c r="F16" s="2"/>
      <c r="G16" s="33"/>
      <c r="H16" s="34"/>
      <c r="I16" s="34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0BFCFDEB-308B-40D4-8250-EC532AAB8029}">
    <sortState ref="C3:K6">
      <sortCondition descending="1" ref="D2"/>
    </sortState>
  </autoFilter>
  <mergeCells count="40">
    <mergeCell ref="G10:H10"/>
    <mergeCell ref="G9:H9"/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3:I13"/>
    <mergeCell ref="G11:H11"/>
    <mergeCell ref="G52:I52"/>
    <mergeCell ref="G53:I53"/>
    <mergeCell ref="G54:I54"/>
    <mergeCell ref="G43:I43"/>
    <mergeCell ref="G30:I30"/>
    <mergeCell ref="G31:I31"/>
    <mergeCell ref="G32:I32"/>
    <mergeCell ref="G35:I35"/>
    <mergeCell ref="G41:I41"/>
    <mergeCell ref="G42:I42"/>
    <mergeCell ref="G36:I36"/>
    <mergeCell ref="G37:I37"/>
    <mergeCell ref="G38:I38"/>
    <mergeCell ref="G39:I39"/>
    <mergeCell ref="G40:I40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4"/>
  <dimension ref="A1:K56"/>
  <sheetViews>
    <sheetView workbookViewId="0">
      <selection activeCell="D37" sqref="D37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5" t="s">
        <v>59</v>
      </c>
      <c r="D1" s="35"/>
      <c r="E1" s="35"/>
      <c r="F1" s="35"/>
      <c r="G1" s="35"/>
      <c r="H1" s="35"/>
      <c r="I1" s="35"/>
      <c r="J1" s="35"/>
      <c r="K1" s="36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A3" s="1" t="s">
        <v>19</v>
      </c>
      <c r="C3" s="32" t="s">
        <v>12</v>
      </c>
      <c r="D3" s="4">
        <f>F3*3+G3</f>
        <v>6</v>
      </c>
      <c r="E3" s="4">
        <f>SUM(F3:H3)</f>
        <v>2</v>
      </c>
      <c r="F3" s="4">
        <f>COUNTIF($B$11,"V")+COUNTIF($J$9,"V")</f>
        <v>2</v>
      </c>
      <c r="G3" s="4">
        <f>COUNTIF($B$11,"E")+COUNTIF($J$9,"E")</f>
        <v>0</v>
      </c>
      <c r="H3" s="4">
        <f>COUNTIF($B$11,"D")+COUNTIF($J$9,"D")</f>
        <v>0</v>
      </c>
      <c r="I3" s="4">
        <f>F9+D11</f>
        <v>6</v>
      </c>
      <c r="J3" s="4">
        <f>D9+D10</f>
        <v>1</v>
      </c>
      <c r="K3" s="4">
        <f>I3-J3</f>
        <v>5</v>
      </c>
    </row>
    <row r="4" spans="1:11" s="4" customFormat="1" x14ac:dyDescent="0.25">
      <c r="A4" s="4" t="s">
        <v>52</v>
      </c>
      <c r="C4" s="1" t="s">
        <v>21</v>
      </c>
      <c r="D4" s="4">
        <f>F4*3+G4</f>
        <v>3</v>
      </c>
      <c r="E4" s="4">
        <f>SUM(F4:H4)</f>
        <v>2</v>
      </c>
      <c r="F4" s="4">
        <f>COUNTIF($J$10,"V")+COUNTIF($J$11,"V")</f>
        <v>1</v>
      </c>
      <c r="G4" s="4">
        <f>COUNTIF($J$10,"E")+COUNTIF($J$11,"E")</f>
        <v>0</v>
      </c>
      <c r="H4" s="4">
        <f>COUNTIF($J$10,"D")+COUNTIF($J$11,"D")</f>
        <v>1</v>
      </c>
      <c r="I4" s="4">
        <f>F10+D9</f>
        <v>4</v>
      </c>
      <c r="J4" s="4">
        <f>F9+D10</f>
        <v>3</v>
      </c>
      <c r="K4" s="4">
        <f>I4-J4</f>
        <v>1</v>
      </c>
    </row>
    <row r="5" spans="1:11" s="4" customFormat="1" x14ac:dyDescent="0.25">
      <c r="C5" s="32"/>
      <c r="D5" s="4">
        <f>F5*3+G5</f>
        <v>0</v>
      </c>
      <c r="E5" s="4">
        <f>SUM(F5:H5)</f>
        <v>2</v>
      </c>
      <c r="F5" s="4">
        <f>COUNTIF($B$10,"V")+COUNTIF($B$9,"V")</f>
        <v>0</v>
      </c>
      <c r="G5" s="4">
        <f>COUNTIF($B$10,"E")+COUNTIF($B$9,"E")</f>
        <v>0</v>
      </c>
      <c r="H5" s="4">
        <f>COUNTIF($B$10,"D")+COUNTIF($B$9,"D")</f>
        <v>2</v>
      </c>
      <c r="I5" s="4">
        <f>D11+D12</f>
        <v>3</v>
      </c>
      <c r="J5" s="4">
        <f>F11+F12</f>
        <v>0</v>
      </c>
      <c r="K5" s="4">
        <f>I5-J5</f>
        <v>3</v>
      </c>
    </row>
    <row r="8" spans="1:11" x14ac:dyDescent="0.25">
      <c r="A8" t="s">
        <v>28</v>
      </c>
      <c r="C8" s="17" t="s">
        <v>38</v>
      </c>
    </row>
    <row r="9" spans="1:11" x14ac:dyDescent="0.25">
      <c r="A9" s="5">
        <v>0.375</v>
      </c>
      <c r="B9" t="str">
        <f>IF(D9="","-",IF(D9=F9,"E",IF(D9&gt;F9,"V","D")))</f>
        <v>D</v>
      </c>
      <c r="C9" s="1" t="s">
        <v>21</v>
      </c>
      <c r="D9" s="2">
        <v>1</v>
      </c>
      <c r="E9" s="3" t="s">
        <v>2</v>
      </c>
      <c r="F9" s="2">
        <v>3</v>
      </c>
      <c r="G9" s="33" t="s">
        <v>12</v>
      </c>
      <c r="H9" s="37"/>
      <c r="I9" s="37"/>
      <c r="J9" t="str">
        <f>IF(F9="","-",IF(F9=D9,"E",IF(F9&gt;D9,"V","D")))</f>
        <v>V</v>
      </c>
    </row>
    <row r="10" spans="1:11" x14ac:dyDescent="0.25">
      <c r="A10" s="5">
        <v>0.52430555555555558</v>
      </c>
      <c r="B10" t="str">
        <f t="shared" ref="B10:B11" si="0">IF(D10="","-",IF(D10=F10,"E",IF(D10&gt;F10,"V","D")))</f>
        <v>D</v>
      </c>
      <c r="C10" s="1" t="s">
        <v>20</v>
      </c>
      <c r="D10" s="2">
        <v>0</v>
      </c>
      <c r="E10" s="3" t="s">
        <v>2</v>
      </c>
      <c r="F10" s="2">
        <v>3</v>
      </c>
      <c r="G10" s="33" t="s">
        <v>21</v>
      </c>
      <c r="H10" s="37"/>
      <c r="I10" s="37"/>
      <c r="J10" t="str">
        <f t="shared" ref="J10:J11" si="1">IF(F10="","-",IF(F10=D10,"E",IF(F10&gt;D10,"V","D")))</f>
        <v>V</v>
      </c>
    </row>
    <row r="11" spans="1:11" x14ac:dyDescent="0.25">
      <c r="A11" s="5"/>
      <c r="B11" t="str">
        <f t="shared" si="0"/>
        <v>V</v>
      </c>
      <c r="C11" s="1" t="s">
        <v>12</v>
      </c>
      <c r="D11" s="2">
        <v>3</v>
      </c>
      <c r="E11" s="3" t="s">
        <v>2</v>
      </c>
      <c r="F11" s="2">
        <v>0</v>
      </c>
      <c r="G11" s="33" t="s">
        <v>20</v>
      </c>
      <c r="H11" s="37"/>
      <c r="I11" s="37"/>
      <c r="J11" t="str">
        <f t="shared" si="1"/>
        <v>D</v>
      </c>
    </row>
    <row r="12" spans="1:11" x14ac:dyDescent="0.25">
      <c r="A12" s="5"/>
      <c r="C12" s="1"/>
      <c r="D12" s="2"/>
      <c r="E12" s="3"/>
      <c r="F12" s="2"/>
      <c r="G12" s="6"/>
      <c r="H12" s="7"/>
      <c r="I12" s="7"/>
    </row>
    <row r="13" spans="1:11" x14ac:dyDescent="0.25">
      <c r="A13" s="5"/>
      <c r="C13" s="1"/>
      <c r="D13" s="2"/>
      <c r="E13" s="3"/>
      <c r="F13" s="2"/>
      <c r="G13" s="33"/>
      <c r="H13" s="34"/>
      <c r="I13" s="34"/>
    </row>
    <row r="14" spans="1:11" x14ac:dyDescent="0.25">
      <c r="A14" s="5"/>
      <c r="C14" s="1"/>
      <c r="D14" s="2"/>
      <c r="E14" s="3"/>
      <c r="F14" s="2"/>
      <c r="G14" s="33"/>
      <c r="H14" s="34"/>
      <c r="I14" s="34"/>
    </row>
    <row r="15" spans="1:11" x14ac:dyDescent="0.25">
      <c r="A15" s="5"/>
      <c r="C15" s="1"/>
      <c r="D15" s="2"/>
      <c r="E15" s="3"/>
      <c r="F15" s="2"/>
      <c r="G15" s="33"/>
      <c r="H15" s="34"/>
      <c r="I15" s="34"/>
    </row>
    <row r="16" spans="1:11" x14ac:dyDescent="0.25">
      <c r="A16" s="5"/>
      <c r="C16" s="1"/>
      <c r="D16" s="2"/>
      <c r="E16" s="3"/>
      <c r="F16" s="2"/>
      <c r="G16" s="33"/>
      <c r="H16" s="34"/>
      <c r="I16" s="34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6D61C8F4-4FAD-46BF-BC96-FB3849D8DE1E}">
    <sortState ref="C3:K5">
      <sortCondition descending="1" ref="D2"/>
    </sortState>
  </autoFilter>
  <mergeCells count="39">
    <mergeCell ref="G13:I13"/>
    <mergeCell ref="G36:I36"/>
    <mergeCell ref="G37:I37"/>
    <mergeCell ref="G38:I38"/>
    <mergeCell ref="G39:I39"/>
    <mergeCell ref="C1:K1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1:I11"/>
    <mergeCell ref="G9:I9"/>
    <mergeCell ref="G10:I10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41:I41"/>
    <mergeCell ref="G42:I42"/>
    <mergeCell ref="G40:I40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5"/>
  <dimension ref="A1:Q56"/>
  <sheetViews>
    <sheetView workbookViewId="0">
      <selection activeCell="C2" sqref="C2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7" s="4" customFormat="1" ht="18.75" x14ac:dyDescent="0.25">
      <c r="C1" s="35" t="s">
        <v>60</v>
      </c>
      <c r="D1" s="35"/>
      <c r="E1" s="35"/>
      <c r="F1" s="35"/>
      <c r="G1" s="35"/>
      <c r="H1" s="35"/>
      <c r="I1" s="35"/>
      <c r="J1" s="35"/>
      <c r="K1" s="36"/>
    </row>
    <row r="2" spans="1:17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7" s="4" customFormat="1" ht="15.75" thickTop="1" x14ac:dyDescent="0.25">
      <c r="A3" s="21" t="s">
        <v>25</v>
      </c>
      <c r="C3" s="1" t="s">
        <v>45</v>
      </c>
      <c r="D3" s="4">
        <f>F3*3+G3</f>
        <v>3</v>
      </c>
      <c r="E3" s="4">
        <f>SUM(F3:H3)</f>
        <v>1</v>
      </c>
      <c r="F3" s="4">
        <f>COUNTIF($B$11,"V")+COUNTIF($J$9,"V")</f>
        <v>1</v>
      </c>
      <c r="G3" s="4">
        <f>COUNTIF($B$11,"E")+COUNTIF($J$9,"E")</f>
        <v>0</v>
      </c>
      <c r="H3" s="4">
        <f>COUNTIF($B$11,"D")+COUNTIF($J$9,"D")</f>
        <v>0</v>
      </c>
      <c r="I3" s="4">
        <f>D11+F9</f>
        <v>3</v>
      </c>
      <c r="J3" s="4">
        <f>F11+D9</f>
        <v>0</v>
      </c>
      <c r="K3" s="4">
        <f>I3-J3</f>
        <v>3</v>
      </c>
    </row>
    <row r="4" spans="1:17" s="4" customFormat="1" x14ac:dyDescent="0.25">
      <c r="A4" s="21" t="s">
        <v>29</v>
      </c>
      <c r="C4" s="32" t="s">
        <v>24</v>
      </c>
      <c r="D4" s="4">
        <f>F4*3+G4</f>
        <v>3</v>
      </c>
      <c r="E4" s="4">
        <f>SUM(F4:H4)</f>
        <v>2</v>
      </c>
      <c r="F4" s="4">
        <f>COUNTIF($J$10,"V")+COUNTIF($B$9,"V")</f>
        <v>1</v>
      </c>
      <c r="G4" s="4">
        <f>COUNTIF($J$10,"E")+COUNTIF($B$9,"E")</f>
        <v>0</v>
      </c>
      <c r="H4" s="4">
        <f>COUNTIF($B$9,"D")+COUNTIF($J$10,"D")</f>
        <v>1</v>
      </c>
      <c r="I4" s="4">
        <f>D10+F11</f>
        <v>1</v>
      </c>
      <c r="J4" s="4">
        <f>D10+F9</f>
        <v>4</v>
      </c>
      <c r="K4" s="4">
        <f>I4-J4</f>
        <v>-3</v>
      </c>
    </row>
    <row r="5" spans="1:17" s="4" customFormat="1" x14ac:dyDescent="0.25">
      <c r="A5" s="21" t="s">
        <v>26</v>
      </c>
      <c r="C5" s="31" t="s">
        <v>53</v>
      </c>
      <c r="D5" s="4">
        <f>F5*3+G5</f>
        <v>0</v>
      </c>
      <c r="E5" s="4">
        <f>SUM(F5:H5)</f>
        <v>1</v>
      </c>
      <c r="F5" s="4">
        <f>COUNTIF($J$11,"V")+COUNTIF($B$10,"V")</f>
        <v>0</v>
      </c>
      <c r="G5" s="4">
        <f>COUNTIF($J$11,"E")+COUNTIF($B$10,"E")</f>
        <v>0</v>
      </c>
      <c r="H5" s="4">
        <f>COUNTIF($J$11,"D")+COUNTIF($B$10,"D")</f>
        <v>1</v>
      </c>
      <c r="I5" s="4">
        <f>D11+F12</f>
        <v>0</v>
      </c>
      <c r="J5" s="4">
        <f>F11+D10</f>
        <v>1</v>
      </c>
      <c r="K5" s="4">
        <f>I5-J5</f>
        <v>-1</v>
      </c>
      <c r="Q5" s="5"/>
    </row>
    <row r="8" spans="1:17" x14ac:dyDescent="0.25">
      <c r="A8" t="s">
        <v>28</v>
      </c>
      <c r="C8" s="17" t="s">
        <v>38</v>
      </c>
    </row>
    <row r="9" spans="1:17" x14ac:dyDescent="0.25">
      <c r="A9" s="5">
        <v>0.79166666666666663</v>
      </c>
      <c r="B9" t="str">
        <f>IF(D9="","-",IF(D9=F9,"E",IF(D9&gt;F9,"V","D")))</f>
        <v>D</v>
      </c>
      <c r="C9" s="1" t="s">
        <v>24</v>
      </c>
      <c r="D9" s="2">
        <v>0</v>
      </c>
      <c r="E9" s="3" t="s">
        <v>2</v>
      </c>
      <c r="F9" s="2">
        <v>3</v>
      </c>
      <c r="G9" s="33" t="s">
        <v>45</v>
      </c>
      <c r="H9" s="37"/>
      <c r="I9" s="37"/>
      <c r="J9" t="str">
        <f>IF(F9="","-",IF(F9=D9,"E",IF(F9&gt;D9,"V","D")))</f>
        <v>V</v>
      </c>
    </row>
    <row r="10" spans="1:17" x14ac:dyDescent="0.25">
      <c r="A10" s="5">
        <v>0.3923611111111111</v>
      </c>
      <c r="B10" t="str">
        <f>IF(D10="","-",IF(D10=F10,"E",IF(D10&gt;F10,"V","D")))</f>
        <v>D</v>
      </c>
      <c r="C10" s="30" t="s">
        <v>53</v>
      </c>
      <c r="D10" s="2">
        <v>1</v>
      </c>
      <c r="E10" s="3" t="s">
        <v>2</v>
      </c>
      <c r="F10" s="2">
        <v>2</v>
      </c>
      <c r="G10" s="33" t="s">
        <v>24</v>
      </c>
      <c r="H10" s="37"/>
      <c r="I10" s="37"/>
      <c r="J10" t="str">
        <f>IF(F10="","-",IF(F10=D10,"E",IF(F10&gt;D10,"V","D")))</f>
        <v>V</v>
      </c>
    </row>
    <row r="11" spans="1:17" x14ac:dyDescent="0.25">
      <c r="A11" s="5">
        <v>0.52430555555555558</v>
      </c>
      <c r="B11" t="str">
        <f t="shared" ref="B11" si="0">IF(D11="","-",IF(D11=F11,"E",IF(D11&gt;F11,"V","D")))</f>
        <v>-</v>
      </c>
      <c r="C11" s="1" t="s">
        <v>45</v>
      </c>
      <c r="D11" s="2"/>
      <c r="E11" s="3" t="s">
        <v>2</v>
      </c>
      <c r="F11" s="2"/>
      <c r="G11" s="50" t="s">
        <v>53</v>
      </c>
      <c r="H11" s="51"/>
      <c r="I11" s="51"/>
      <c r="J11" t="str">
        <f t="shared" ref="J11" si="1">IF(F11="","-",IF(F11=D11,"E",IF(F11&gt;D11,"V","D")))</f>
        <v>-</v>
      </c>
    </row>
    <row r="12" spans="1:17" x14ac:dyDescent="0.25">
      <c r="A12" s="5"/>
      <c r="C12" s="1"/>
      <c r="D12" s="2"/>
      <c r="E12" s="3"/>
      <c r="F12" s="2"/>
      <c r="G12" s="33"/>
      <c r="H12" s="34"/>
      <c r="I12" s="34"/>
    </row>
    <row r="13" spans="1:17" x14ac:dyDescent="0.25">
      <c r="A13" s="5"/>
      <c r="C13" s="1"/>
      <c r="D13" s="2"/>
      <c r="E13" s="3"/>
      <c r="F13" s="2"/>
      <c r="G13" s="33"/>
      <c r="H13" s="34"/>
      <c r="I13" s="34"/>
    </row>
    <row r="14" spans="1:17" x14ac:dyDescent="0.25">
      <c r="A14" s="5"/>
      <c r="C14" s="1"/>
      <c r="D14" s="2"/>
      <c r="E14" s="3"/>
      <c r="F14" s="2"/>
      <c r="G14" s="33"/>
      <c r="H14" s="34"/>
      <c r="I14" s="34"/>
    </row>
    <row r="15" spans="1:17" x14ac:dyDescent="0.25">
      <c r="A15" s="5"/>
      <c r="C15" s="1"/>
      <c r="D15" s="2"/>
      <c r="E15" s="3"/>
      <c r="F15" s="2"/>
      <c r="G15" s="33"/>
      <c r="H15" s="34"/>
      <c r="I15" s="34"/>
    </row>
    <row r="16" spans="1:17" x14ac:dyDescent="0.25">
      <c r="A16" s="5"/>
      <c r="C16" s="1"/>
      <c r="D16" s="2"/>
      <c r="E16" s="3"/>
      <c r="F16" s="2"/>
      <c r="G16" s="33"/>
      <c r="H16" s="34"/>
      <c r="I16" s="34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5704095C-B803-4116-BA0D-308AE922FF7E}">
    <sortState ref="C3:K5">
      <sortCondition descending="1" ref="D2"/>
    </sortState>
  </autoFilter>
  <mergeCells count="40">
    <mergeCell ref="G13:I13"/>
    <mergeCell ref="G36:I36"/>
    <mergeCell ref="G37:I37"/>
    <mergeCell ref="G38:I38"/>
    <mergeCell ref="G10:I10"/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11:I11"/>
    <mergeCell ref="G28:I28"/>
    <mergeCell ref="G9:I9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  <mergeCell ref="G43:I43"/>
    <mergeCell ref="G30:I30"/>
    <mergeCell ref="G31:I31"/>
    <mergeCell ref="G32:I32"/>
    <mergeCell ref="G35:I35"/>
    <mergeCell ref="G41:I41"/>
    <mergeCell ref="G42:I42"/>
    <mergeCell ref="G40:I40"/>
    <mergeCell ref="G39:I39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/>
  <dimension ref="A1:K56"/>
  <sheetViews>
    <sheetView workbookViewId="0">
      <selection activeCell="J28" sqref="J28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4" customFormat="1" ht="18.75" x14ac:dyDescent="0.25">
      <c r="C1" s="35" t="s">
        <v>57</v>
      </c>
      <c r="D1" s="35"/>
      <c r="E1" s="35"/>
      <c r="F1" s="35"/>
      <c r="G1" s="35"/>
      <c r="H1" s="35"/>
      <c r="I1" s="35"/>
      <c r="J1" s="35"/>
      <c r="K1" s="36"/>
    </row>
    <row r="2" spans="1:11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4" customFormat="1" ht="15.75" thickTop="1" x14ac:dyDescent="0.25">
      <c r="A3" s="4" t="s">
        <v>54</v>
      </c>
      <c r="C3" s="1" t="s">
        <v>1</v>
      </c>
      <c r="D3" s="4">
        <f>F3*3+G3</f>
        <v>6</v>
      </c>
      <c r="E3" s="4">
        <f>SUM(F3:H3)</f>
        <v>2</v>
      </c>
      <c r="F3" s="4">
        <f>COUNTIF($J$10,"V")+COUNTIF($B$9,"V")</f>
        <v>2</v>
      </c>
      <c r="G3" s="4">
        <f>COUNTIF($J$10,"E")+COUNTIF($B$9,"E")</f>
        <v>0</v>
      </c>
      <c r="H3" s="4">
        <f>COUNTIF($J$10,"D")+COUNTIF($B$9,"D")</f>
        <v>0</v>
      </c>
      <c r="I3" s="4">
        <f>D9+F10</f>
        <v>7</v>
      </c>
      <c r="J3" s="4">
        <f>F9+D10</f>
        <v>0</v>
      </c>
      <c r="K3" s="4">
        <f>I3-J3</f>
        <v>7</v>
      </c>
    </row>
    <row r="4" spans="1:11" s="4" customFormat="1" x14ac:dyDescent="0.25">
      <c r="A4" s="4" t="s">
        <v>49</v>
      </c>
      <c r="C4" s="1" t="s">
        <v>14</v>
      </c>
      <c r="D4" s="4">
        <f>F4*3+G4</f>
        <v>0</v>
      </c>
      <c r="E4" s="4">
        <f>SUM(F4:H4)</f>
        <v>1</v>
      </c>
      <c r="F4" s="4">
        <f>COUNTIF($B$10,"V")+COUNTIF($J$11,"V")</f>
        <v>0</v>
      </c>
      <c r="G4" s="4">
        <f>COUNTIF($B$10,"E")+COUNTIF($J$11,"E")</f>
        <v>0</v>
      </c>
      <c r="H4" s="4">
        <f>COUNTIF($B$10,"D")+COUNTIF($J$11,"D")</f>
        <v>1</v>
      </c>
      <c r="I4" s="4">
        <f>D10+F11</f>
        <v>0</v>
      </c>
      <c r="J4" s="4">
        <f>F10+D11</f>
        <v>4</v>
      </c>
      <c r="K4" s="4">
        <f>I4-J4</f>
        <v>-4</v>
      </c>
    </row>
    <row r="5" spans="1:11" s="4" customFormat="1" x14ac:dyDescent="0.25">
      <c r="A5" s="4" t="s">
        <v>55</v>
      </c>
      <c r="C5" s="1" t="s">
        <v>13</v>
      </c>
      <c r="D5" s="4">
        <f>F5*3+G5</f>
        <v>0</v>
      </c>
      <c r="E5" s="4">
        <f>SUM(F5:H5)</f>
        <v>1</v>
      </c>
      <c r="F5" s="4">
        <f>COUNTIF($J$9,"V")+COUNTIF($B$11,"V")</f>
        <v>0</v>
      </c>
      <c r="G5" s="4">
        <f>COUNTIF($J$9,"E")+COUNTIF($B$11,"E")</f>
        <v>0</v>
      </c>
      <c r="H5" s="4">
        <f>COUNTIF($J$9,"D")+COUNTIF($B$11,"D")</f>
        <v>1</v>
      </c>
      <c r="I5" s="4">
        <f>D11+F9</f>
        <v>0</v>
      </c>
      <c r="J5" s="4">
        <f>D9+F11</f>
        <v>3</v>
      </c>
      <c r="K5" s="4">
        <f>I5-J5</f>
        <v>-3</v>
      </c>
    </row>
    <row r="8" spans="1:11" x14ac:dyDescent="0.25">
      <c r="A8" t="s">
        <v>28</v>
      </c>
      <c r="C8" s="17" t="s">
        <v>38</v>
      </c>
    </row>
    <row r="9" spans="1:11" x14ac:dyDescent="0.25">
      <c r="A9" s="5">
        <v>0.80902777777777846</v>
      </c>
      <c r="B9" t="str">
        <f>IF(D9="","-",IF(D9=F9,"E",IF(D9&gt;F9,"V","D")))</f>
        <v>V</v>
      </c>
      <c r="C9" s="1" t="s">
        <v>1</v>
      </c>
      <c r="D9" s="2">
        <v>3</v>
      </c>
      <c r="E9" s="3" t="s">
        <v>2</v>
      </c>
      <c r="F9" s="2">
        <v>0</v>
      </c>
      <c r="G9" s="33" t="s">
        <v>13</v>
      </c>
      <c r="H9" s="37"/>
      <c r="I9" s="37"/>
      <c r="J9" t="str">
        <f>IF(F9="","-",IF(F9=D9,"E",IF(F9&gt;D9,"V","D")))</f>
        <v>D</v>
      </c>
    </row>
    <row r="10" spans="1:11" x14ac:dyDescent="0.25">
      <c r="A10" s="5">
        <v>0.40972222222222221</v>
      </c>
      <c r="B10" t="str">
        <f t="shared" ref="B10:B11" si="0">IF(D10="","-",IF(D10=F10,"E",IF(D10&gt;F10,"V","D")))</f>
        <v>D</v>
      </c>
      <c r="C10" s="1" t="s">
        <v>14</v>
      </c>
      <c r="D10" s="2">
        <v>0</v>
      </c>
      <c r="E10" s="3" t="s">
        <v>2</v>
      </c>
      <c r="F10" s="2">
        <v>4</v>
      </c>
      <c r="G10" s="33" t="s">
        <v>1</v>
      </c>
      <c r="H10" s="37"/>
      <c r="I10" s="37"/>
      <c r="J10" t="str">
        <f t="shared" ref="J10:J11" si="1">IF(F10="","-",IF(F10=D10,"E",IF(F10&gt;D10,"V","D")))</f>
        <v>V</v>
      </c>
    </row>
    <row r="11" spans="1:11" x14ac:dyDescent="0.25">
      <c r="A11" s="5">
        <v>0.54166666666666663</v>
      </c>
      <c r="B11" t="str">
        <f t="shared" si="0"/>
        <v>-</v>
      </c>
      <c r="C11" s="1" t="s">
        <v>13</v>
      </c>
      <c r="D11" s="2"/>
      <c r="E11" s="3" t="s">
        <v>2</v>
      </c>
      <c r="F11" s="2"/>
      <c r="G11" s="6" t="s">
        <v>14</v>
      </c>
      <c r="H11" s="22"/>
      <c r="I11" s="22"/>
      <c r="J11" t="str">
        <f t="shared" si="1"/>
        <v>-</v>
      </c>
    </row>
    <row r="12" spans="1:11" x14ac:dyDescent="0.25">
      <c r="A12" s="5"/>
      <c r="C12" s="1"/>
      <c r="D12" s="2"/>
      <c r="E12" s="3"/>
      <c r="F12" s="2"/>
      <c r="G12" s="33"/>
      <c r="H12" s="34"/>
      <c r="I12" s="34"/>
    </row>
    <row r="13" spans="1:11" x14ac:dyDescent="0.25">
      <c r="A13" s="5"/>
      <c r="C13" s="1"/>
      <c r="D13" s="2"/>
      <c r="E13" s="3"/>
      <c r="F13" s="2"/>
      <c r="G13" s="33"/>
      <c r="H13" s="34"/>
      <c r="I13" s="34"/>
    </row>
    <row r="14" spans="1:11" x14ac:dyDescent="0.25">
      <c r="A14" s="5"/>
      <c r="C14" s="1"/>
      <c r="D14" s="2"/>
      <c r="E14" s="3"/>
      <c r="F14" s="2"/>
      <c r="G14" s="33"/>
      <c r="H14" s="34"/>
      <c r="I14" s="34"/>
    </row>
    <row r="15" spans="1:11" x14ac:dyDescent="0.25">
      <c r="A15" s="5"/>
      <c r="C15" s="1"/>
      <c r="D15" s="2"/>
      <c r="E15" s="3"/>
      <c r="F15" s="2"/>
      <c r="G15" s="33"/>
      <c r="H15" s="34"/>
      <c r="I15" s="34"/>
    </row>
    <row r="16" spans="1:11" x14ac:dyDescent="0.25">
      <c r="A16" s="5"/>
      <c r="C16" s="1"/>
      <c r="D16" s="2"/>
      <c r="E16" s="3"/>
      <c r="F16" s="2"/>
      <c r="G16" s="33"/>
      <c r="H16" s="34"/>
      <c r="I16" s="34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DE29A833-5B67-4067-9572-3FF68A4C4A8A}">
    <sortState ref="C3:K5">
      <sortCondition descending="1" ref="D2"/>
    </sortState>
  </autoFilter>
  <mergeCells count="39"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10:I10"/>
    <mergeCell ref="G55:I55"/>
    <mergeCell ref="G44:I44"/>
    <mergeCell ref="G47:I47"/>
    <mergeCell ref="G48:I48"/>
    <mergeCell ref="G49:I49"/>
    <mergeCell ref="G50:I50"/>
    <mergeCell ref="G51:I51"/>
    <mergeCell ref="G52:I52"/>
    <mergeCell ref="G53:I53"/>
    <mergeCell ref="G54:I54"/>
    <mergeCell ref="G9:I9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13:I1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7"/>
  <dimension ref="A1:T56"/>
  <sheetViews>
    <sheetView workbookViewId="0">
      <selection activeCell="C5" sqref="C5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20" s="4" customFormat="1" ht="18.75" x14ac:dyDescent="0.25">
      <c r="C1" s="35" t="s">
        <v>58</v>
      </c>
      <c r="D1" s="35"/>
      <c r="E1" s="35"/>
      <c r="F1" s="35"/>
      <c r="G1" s="35"/>
      <c r="H1" s="35"/>
      <c r="I1" s="35"/>
      <c r="J1" s="35"/>
      <c r="K1" s="36"/>
    </row>
    <row r="2" spans="1:20" s="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  <c r="T2"/>
    </row>
    <row r="3" spans="1:20" s="4" customFormat="1" ht="15.75" thickTop="1" x14ac:dyDescent="0.25">
      <c r="A3" s="21" t="s">
        <v>27</v>
      </c>
      <c r="C3" s="1" t="s">
        <v>22</v>
      </c>
      <c r="D3" s="4">
        <f>F3*3+G3</f>
        <v>3</v>
      </c>
      <c r="E3" s="4">
        <f>SUM(F3:H3)</f>
        <v>1</v>
      </c>
      <c r="F3" s="4">
        <f>COUNTIF($F$10,"V")+COUNTIF($B$9,"V")</f>
        <v>1</v>
      </c>
      <c r="G3" s="4">
        <f>COUNTIF($F$10,"E")+COUNTIF($B$9,"E")</f>
        <v>0</v>
      </c>
      <c r="H3" s="4">
        <f>COUNTIF($F$10,"D")+COUNTIF($B$9,"D")</f>
        <v>0</v>
      </c>
      <c r="I3" s="4">
        <f>D9+F10</f>
        <v>3</v>
      </c>
      <c r="J3" s="4">
        <f>F9+D10</f>
        <v>2</v>
      </c>
      <c r="K3" s="4">
        <f>I3-J3</f>
        <v>1</v>
      </c>
    </row>
    <row r="4" spans="1:20" s="4" customFormat="1" x14ac:dyDescent="0.25">
      <c r="A4" s="4" t="s">
        <v>50</v>
      </c>
      <c r="C4" s="1" t="s">
        <v>17</v>
      </c>
      <c r="D4" s="4">
        <f>F4*3+G4</f>
        <v>3</v>
      </c>
      <c r="E4" s="4">
        <f>SUM(F4:H4)</f>
        <v>2</v>
      </c>
      <c r="F4" s="4">
        <f>COUNTIF($B$10,"V")+COUNTIF($J$11,"V")</f>
        <v>1</v>
      </c>
      <c r="G4" s="4">
        <f>COUNTIF($B$10,"E")+COUNTIF($J$11,"E")</f>
        <v>0</v>
      </c>
      <c r="H4" s="4">
        <f>COUNTIF($B$10,"D")+COUNTIF($J$10,"D")</f>
        <v>1</v>
      </c>
      <c r="I4" s="4">
        <f>F11+D10</f>
        <v>2</v>
      </c>
      <c r="J4" s="4">
        <f>D11+F10</f>
        <v>0</v>
      </c>
      <c r="K4" s="4">
        <f>I4-J4</f>
        <v>2</v>
      </c>
    </row>
    <row r="5" spans="1:20" s="4" customFormat="1" x14ac:dyDescent="0.25">
      <c r="A5" s="4" t="s">
        <v>51</v>
      </c>
      <c r="C5" s="1" t="s">
        <v>43</v>
      </c>
      <c r="D5" s="4">
        <f>F5*3+G5</f>
        <v>0</v>
      </c>
      <c r="E5" s="4">
        <f>SUM(F5:H5)</f>
        <v>1</v>
      </c>
      <c r="F5" s="4">
        <f>COUNTIF($J$9,"V")+COUNTIF($B$11,"V")</f>
        <v>0</v>
      </c>
      <c r="G5" s="4">
        <f>COUNTIF($J$9,"E")+COUNTIF($B$11,"E")</f>
        <v>0</v>
      </c>
      <c r="H5" s="4">
        <f>COUNTIF($J$9,"D")+COUNTIF($B$11,"D")</f>
        <v>1</v>
      </c>
      <c r="I5" s="4">
        <f>D11+F9</f>
        <v>0</v>
      </c>
      <c r="J5" s="4">
        <f>D9+F11</f>
        <v>3</v>
      </c>
      <c r="K5" s="4">
        <f>I5-J5</f>
        <v>-3</v>
      </c>
    </row>
    <row r="8" spans="1:20" x14ac:dyDescent="0.25">
      <c r="A8" t="s">
        <v>28</v>
      </c>
      <c r="C8" s="17" t="s">
        <v>38</v>
      </c>
    </row>
    <row r="9" spans="1:20" x14ac:dyDescent="0.25">
      <c r="A9" s="5">
        <v>0.80902777777777846</v>
      </c>
      <c r="B9" t="str">
        <f>IF(D9="","-",IF(D9=F9,"E",IF(D9&gt;F9,"V","D")))</f>
        <v>V</v>
      </c>
      <c r="C9" s="1" t="s">
        <v>22</v>
      </c>
      <c r="D9" s="2">
        <v>3</v>
      </c>
      <c r="E9" s="3" t="s">
        <v>2</v>
      </c>
      <c r="F9" s="2">
        <v>0</v>
      </c>
      <c r="G9" s="6" t="s">
        <v>43</v>
      </c>
      <c r="H9" s="22"/>
      <c r="I9" s="22"/>
      <c r="J9" t="str">
        <f>IF(F9="","-",IF(F9=D9,"E",IF(F9&gt;D9,"V","D")))</f>
        <v>D</v>
      </c>
    </row>
    <row r="10" spans="1:20" x14ac:dyDescent="0.25">
      <c r="A10" s="5">
        <v>0.40972222222222221</v>
      </c>
      <c r="B10" t="str">
        <f t="shared" ref="B10:B11" si="0">IF(D10="","-",IF(D10=F10,"E",IF(D10&gt;F10,"V","D")))</f>
        <v>V</v>
      </c>
      <c r="C10" s="1" t="s">
        <v>17</v>
      </c>
      <c r="D10" s="2">
        <v>2</v>
      </c>
      <c r="E10" s="3" t="s">
        <v>2</v>
      </c>
      <c r="F10" s="2">
        <v>0</v>
      </c>
      <c r="G10" s="6" t="s">
        <v>22</v>
      </c>
      <c r="H10" s="22"/>
      <c r="I10" s="22"/>
      <c r="J10" t="str">
        <f t="shared" ref="J10:J11" si="1">IF(F10="","-",IF(F10=D10,"E",IF(F10&gt;D10,"V","D")))</f>
        <v>D</v>
      </c>
    </row>
    <row r="11" spans="1:20" x14ac:dyDescent="0.25">
      <c r="A11" s="5">
        <v>0.54166666666666674</v>
      </c>
      <c r="B11" t="str">
        <f t="shared" si="0"/>
        <v>-</v>
      </c>
      <c r="C11" s="1" t="s">
        <v>43</v>
      </c>
      <c r="D11" s="2"/>
      <c r="E11" s="3" t="s">
        <v>2</v>
      </c>
      <c r="F11" s="2"/>
      <c r="G11" s="6" t="s">
        <v>17</v>
      </c>
      <c r="H11" s="22"/>
      <c r="I11" s="22"/>
      <c r="J11" t="str">
        <f t="shared" si="1"/>
        <v>-</v>
      </c>
    </row>
    <row r="12" spans="1:20" x14ac:dyDescent="0.25">
      <c r="A12" s="5"/>
      <c r="C12" s="1"/>
      <c r="D12" s="2"/>
      <c r="E12" s="3"/>
      <c r="F12" s="2"/>
      <c r="G12" s="33"/>
      <c r="H12" s="34"/>
      <c r="I12" s="34"/>
    </row>
    <row r="13" spans="1:20" x14ac:dyDescent="0.25">
      <c r="A13" s="5"/>
      <c r="C13" s="1"/>
      <c r="D13" s="2"/>
      <c r="E13" s="3"/>
      <c r="F13" s="2"/>
      <c r="G13" s="33"/>
      <c r="H13" s="34"/>
      <c r="I13" s="34"/>
    </row>
    <row r="14" spans="1:20" x14ac:dyDescent="0.25">
      <c r="A14" s="5"/>
      <c r="C14" s="1"/>
      <c r="D14" s="2"/>
      <c r="E14" s="3"/>
      <c r="F14" s="2"/>
      <c r="G14" s="33"/>
      <c r="H14" s="34"/>
      <c r="I14" s="34"/>
    </row>
    <row r="15" spans="1:20" x14ac:dyDescent="0.25">
      <c r="A15" s="5"/>
      <c r="C15" s="1"/>
      <c r="D15" s="2"/>
      <c r="E15" s="3"/>
      <c r="F15" s="2"/>
      <c r="G15" s="33"/>
      <c r="H15" s="34"/>
      <c r="I15" s="34"/>
    </row>
    <row r="16" spans="1:20" x14ac:dyDescent="0.25">
      <c r="A16" s="5"/>
      <c r="C16" s="1"/>
      <c r="D16" s="2"/>
      <c r="E16" s="3"/>
      <c r="F16" s="2"/>
      <c r="G16" s="33"/>
      <c r="H16" s="34"/>
      <c r="I16" s="34"/>
      <c r="M16" s="1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17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17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17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84078D02-F24F-427C-A014-49EA3137AEB3}">
    <sortState ref="C3:K5">
      <sortCondition descending="1" ref="D2"/>
    </sortState>
  </autoFilter>
  <mergeCells count="37">
    <mergeCell ref="G13:I13"/>
    <mergeCell ref="C1:K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55:I55"/>
    <mergeCell ref="G44:I44"/>
    <mergeCell ref="G47:I47"/>
    <mergeCell ref="G48:I48"/>
    <mergeCell ref="G49:I49"/>
    <mergeCell ref="G50:I50"/>
    <mergeCell ref="G51:I51"/>
    <mergeCell ref="G52:I52"/>
    <mergeCell ref="G53:I53"/>
    <mergeCell ref="G54:I54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D5F8D-9206-4328-B4A1-42CF62D368B1}">
  <sheetPr codeName="Folha8"/>
  <dimension ref="A1:K56"/>
  <sheetViews>
    <sheetView workbookViewId="0">
      <selection activeCell="R24" sqref="R24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24" customFormat="1" ht="18.75" x14ac:dyDescent="0.25">
      <c r="C1" s="35" t="s">
        <v>47</v>
      </c>
      <c r="D1" s="35"/>
      <c r="E1" s="35"/>
      <c r="F1" s="35"/>
      <c r="G1" s="35"/>
      <c r="H1" s="35"/>
      <c r="I1" s="35"/>
      <c r="J1" s="35"/>
      <c r="K1" s="36"/>
    </row>
    <row r="2" spans="1:11" s="2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24" customFormat="1" ht="15.75" thickTop="1" x14ac:dyDescent="0.25">
      <c r="A3" s="11" t="s">
        <v>30</v>
      </c>
      <c r="C3" s="1" t="s">
        <v>16</v>
      </c>
      <c r="D3" s="24">
        <f>F3*3+G3</f>
        <v>0</v>
      </c>
      <c r="E3" s="24">
        <f>SUM(F3:H3)</f>
        <v>0</v>
      </c>
      <c r="F3" s="24">
        <f>COUNTIF($B$9,"V")+COUNTIF($J$10,"V")</f>
        <v>0</v>
      </c>
      <c r="G3" s="24">
        <f>COUNTIF($B$9,"E")+COUNTIF($J$10,"E")</f>
        <v>0</v>
      </c>
      <c r="H3" s="24">
        <f>COUNTIF($B$9,"D")+COUNTIF($J$10,"D")</f>
        <v>0</v>
      </c>
      <c r="I3" s="24">
        <f>F10+D9</f>
        <v>0</v>
      </c>
      <c r="J3" s="24">
        <f>F9+D10</f>
        <v>0</v>
      </c>
      <c r="K3" s="24">
        <f>I3-J3</f>
        <v>0</v>
      </c>
    </row>
    <row r="4" spans="1:11" s="24" customFormat="1" x14ac:dyDescent="0.25">
      <c r="A4" s="12" t="s">
        <v>31</v>
      </c>
      <c r="C4" s="12" t="s">
        <v>31</v>
      </c>
      <c r="D4" s="24">
        <f>F4*3+G4</f>
        <v>0</v>
      </c>
      <c r="E4" s="24">
        <f>SUM(F4:H4)</f>
        <v>0</v>
      </c>
      <c r="F4" s="24">
        <f>COUNTIF($B$10,"V")+COUNTIF($J$11,"V")</f>
        <v>0</v>
      </c>
      <c r="G4" s="24">
        <f>COUNTIF($B$10,"E")+COUNTIF($J$11,"E")</f>
        <v>0</v>
      </c>
      <c r="H4" s="24">
        <f>COUNTIF($B$10,"D")+COUNTIF($J$11,"D")</f>
        <v>0</v>
      </c>
      <c r="I4" s="24">
        <f>F11+D10</f>
        <v>0</v>
      </c>
      <c r="J4" s="24">
        <f>F10+D11</f>
        <v>0</v>
      </c>
      <c r="K4" s="24">
        <f>I4-J4</f>
        <v>0</v>
      </c>
    </row>
    <row r="5" spans="1:11" s="24" customFormat="1" x14ac:dyDescent="0.25">
      <c r="A5" s="13" t="s">
        <v>32</v>
      </c>
      <c r="C5" s="1" t="s">
        <v>12</v>
      </c>
      <c r="D5" s="24">
        <f>F5*3+G5</f>
        <v>0</v>
      </c>
      <c r="E5" s="24">
        <f>SUM(F5:H5)</f>
        <v>0</v>
      </c>
      <c r="F5" s="24">
        <f>COUNTIF($B$11,"V")+COUNTIF($J$9,"V")</f>
        <v>0</v>
      </c>
      <c r="G5" s="24">
        <f>COUNTIF($B$11,"E")+COUNTIF($J$9,"E")</f>
        <v>0</v>
      </c>
      <c r="H5" s="24">
        <f>COUNTIF($B$11,"D")+COUNTIF($J$9,"D")</f>
        <v>0</v>
      </c>
      <c r="I5" s="24">
        <f>D11+F9</f>
        <v>0</v>
      </c>
      <c r="J5" s="24">
        <f>F11+D9</f>
        <v>0</v>
      </c>
      <c r="K5" s="24">
        <f>I5-J5</f>
        <v>0</v>
      </c>
    </row>
    <row r="8" spans="1:11" x14ac:dyDescent="0.25">
      <c r="C8" s="28" t="s">
        <v>38</v>
      </c>
    </row>
    <row r="9" spans="1:11" x14ac:dyDescent="0.25">
      <c r="A9" s="5">
        <v>0.64583333333333337</v>
      </c>
      <c r="B9" t="str">
        <f>IF(D9="","-",IF(D9=F9,"E",IF(D9&gt;F9,"V","D")))</f>
        <v>-</v>
      </c>
      <c r="C9" s="1" t="s">
        <v>16</v>
      </c>
      <c r="D9" s="8"/>
      <c r="E9" s="9" t="s">
        <v>2</v>
      </c>
      <c r="F9" s="8"/>
      <c r="G9" s="46" t="s">
        <v>31</v>
      </c>
      <c r="H9" s="52"/>
      <c r="I9" s="52"/>
      <c r="J9" t="str">
        <f>IF(F9="","-",IF(F9=D9,"E",IF(F9&gt;D9,"V","D")))</f>
        <v>-</v>
      </c>
    </row>
    <row r="10" spans="1:11" x14ac:dyDescent="0.25">
      <c r="A10" s="5">
        <v>0.6840277777777779</v>
      </c>
      <c r="B10" t="str">
        <f>IF(D10="","-",IF(D10=F10,"E",IF(D10&gt;F10,"V","D")))</f>
        <v>-</v>
      </c>
      <c r="C10" s="1" t="s">
        <v>16</v>
      </c>
      <c r="D10" s="8"/>
      <c r="E10" s="9" t="s">
        <v>2</v>
      </c>
      <c r="F10" s="8"/>
      <c r="G10" s="44" t="s">
        <v>12</v>
      </c>
      <c r="H10" s="53"/>
      <c r="I10" s="53"/>
      <c r="J10" t="str">
        <f>IF(F10="","-",IF(F10=D10,"E",IF(F10&gt;D10,"V","D")))</f>
        <v>-</v>
      </c>
    </row>
    <row r="11" spans="1:11" x14ac:dyDescent="0.25">
      <c r="A11" s="5">
        <v>0.71875000000000022</v>
      </c>
      <c r="B11" t="str">
        <f>IF(D11="","-",IF(D11=F11,"E",IF(D11&gt;F11,"V","D")))</f>
        <v>-</v>
      </c>
      <c r="C11" s="12" t="s">
        <v>31</v>
      </c>
      <c r="D11" s="8"/>
      <c r="E11" s="9" t="s">
        <v>2</v>
      </c>
      <c r="F11" s="8"/>
      <c r="G11" s="44" t="s">
        <v>12</v>
      </c>
      <c r="H11" s="53"/>
      <c r="I11" s="53"/>
      <c r="J11" t="str">
        <f>IF(F11="","-",IF(F11=D11,"E",IF(F11&gt;D11,"V","D")))</f>
        <v>-</v>
      </c>
    </row>
    <row r="12" spans="1:11" x14ac:dyDescent="0.25">
      <c r="A12" s="5"/>
      <c r="C12" s="1"/>
      <c r="D12" s="2"/>
      <c r="E12" s="3"/>
      <c r="F12" s="2"/>
      <c r="G12" s="33"/>
      <c r="H12" s="34"/>
      <c r="I12" s="34"/>
    </row>
    <row r="13" spans="1:11" x14ac:dyDescent="0.25">
      <c r="A13" s="5"/>
      <c r="C13" s="1"/>
      <c r="D13" s="2"/>
      <c r="E13" s="3"/>
      <c r="F13" s="2"/>
      <c r="G13" s="33"/>
      <c r="H13" s="34"/>
      <c r="I13" s="34"/>
    </row>
    <row r="14" spans="1:11" x14ac:dyDescent="0.25">
      <c r="A14" s="5"/>
      <c r="C14" s="1"/>
      <c r="D14" s="2"/>
      <c r="E14" s="3"/>
      <c r="F14" s="2"/>
      <c r="G14" s="33"/>
      <c r="H14" s="34"/>
      <c r="I14" s="34"/>
    </row>
    <row r="15" spans="1:11" x14ac:dyDescent="0.25">
      <c r="A15" s="5"/>
      <c r="C15" s="1"/>
      <c r="D15" s="2"/>
      <c r="E15" s="3"/>
      <c r="F15" s="2"/>
      <c r="G15" s="33"/>
      <c r="H15" s="34"/>
      <c r="I15" s="34"/>
    </row>
    <row r="16" spans="1:11" x14ac:dyDescent="0.25">
      <c r="A16" s="5"/>
      <c r="C16" s="1"/>
      <c r="D16" s="2"/>
      <c r="E16" s="3"/>
      <c r="F16" s="2"/>
      <c r="G16" s="33"/>
      <c r="H16" s="34"/>
      <c r="I16" s="34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28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28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28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C99C89F0-903A-4193-BE82-B7E50972BA74}">
    <sortState ref="C3:K5">
      <sortCondition descending="1" ref="D2"/>
    </sortState>
  </autoFilter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EF4A5-F075-4C00-8FC4-900E955C0E16}">
  <sheetPr codeName="Folha9"/>
  <dimension ref="A1:K56"/>
  <sheetViews>
    <sheetView workbookViewId="0">
      <selection activeCell="R14" sqref="R14"/>
    </sheetView>
  </sheetViews>
  <sheetFormatPr defaultRowHeight="15" x14ac:dyDescent="0.25"/>
  <cols>
    <col min="2" max="2" width="2.28515625" bestFit="1" customWidth="1"/>
    <col min="3" max="3" width="42.5703125" bestFit="1" customWidth="1"/>
    <col min="4" max="4" width="9.28515625" customWidth="1"/>
    <col min="7" max="7" width="9.140625" customWidth="1"/>
    <col min="9" max="9" width="8.85546875" bestFit="1" customWidth="1"/>
    <col min="12" max="12" width="1.7109375" customWidth="1"/>
    <col min="14" max="14" width="1.7109375" bestFit="1" customWidth="1"/>
  </cols>
  <sheetData>
    <row r="1" spans="1:11" s="24" customFormat="1" ht="18.75" x14ac:dyDescent="0.25">
      <c r="C1" s="35" t="s">
        <v>46</v>
      </c>
      <c r="D1" s="35"/>
      <c r="E1" s="35"/>
      <c r="F1" s="35"/>
      <c r="G1" s="35"/>
      <c r="H1" s="35"/>
      <c r="I1" s="35"/>
      <c r="J1" s="35"/>
      <c r="K1" s="36"/>
    </row>
    <row r="2" spans="1:11" s="24" customFormat="1" ht="15.75" thickBot="1" x14ac:dyDescent="0.3">
      <c r="C2" s="18" t="s">
        <v>11</v>
      </c>
      <c r="D2" s="19" t="s">
        <v>10</v>
      </c>
      <c r="E2" s="19" t="s">
        <v>6</v>
      </c>
      <c r="F2" s="19" t="s">
        <v>3</v>
      </c>
      <c r="G2" s="19" t="s">
        <v>4</v>
      </c>
      <c r="H2" s="19" t="s">
        <v>5</v>
      </c>
      <c r="I2" s="19" t="s">
        <v>7</v>
      </c>
      <c r="J2" s="19" t="s">
        <v>8</v>
      </c>
      <c r="K2" s="20" t="s">
        <v>9</v>
      </c>
    </row>
    <row r="3" spans="1:11" s="24" customFormat="1" ht="15.75" thickTop="1" x14ac:dyDescent="0.25">
      <c r="A3" s="14" t="s">
        <v>35</v>
      </c>
      <c r="C3" s="14" t="s">
        <v>35</v>
      </c>
      <c r="D3" s="24">
        <f>F3*3+G3</f>
        <v>0</v>
      </c>
      <c r="E3" s="24">
        <f>SUM(F3:H3)</f>
        <v>0</v>
      </c>
      <c r="F3" s="24">
        <f>COUNTIF($J$10,"V")+COUNTIF($B$9,"V")</f>
        <v>0</v>
      </c>
      <c r="G3" s="24">
        <f>COUNTIF($J$10,"E")+COUNTIF($B$9,"E")</f>
        <v>0</v>
      </c>
      <c r="H3" s="24">
        <f>COUNTIF($J$10,"D")+COUNTIF($B$9,"D")</f>
        <v>0</v>
      </c>
      <c r="I3" s="24">
        <f>D9+F10</f>
        <v>0</v>
      </c>
      <c r="J3" s="24">
        <f>F9+D10</f>
        <v>0</v>
      </c>
      <c r="K3" s="24">
        <f>I3-J3</f>
        <v>0</v>
      </c>
    </row>
    <row r="4" spans="1:11" s="24" customFormat="1" x14ac:dyDescent="0.25">
      <c r="A4" s="15" t="s">
        <v>36</v>
      </c>
      <c r="C4" s="1" t="s">
        <v>1</v>
      </c>
      <c r="D4" s="24">
        <f>F4*3+G4</f>
        <v>0</v>
      </c>
      <c r="E4" s="24">
        <f>SUM(F4:H4)</f>
        <v>0</v>
      </c>
      <c r="F4" s="24">
        <f>COUNTIF($B$10,"V")+COUNTIF($J$11,"V")</f>
        <v>0</v>
      </c>
      <c r="G4" s="24">
        <f>COUNTIF($B$10,"E")+COUNTIF($J$11,"E")</f>
        <v>0</v>
      </c>
      <c r="H4" s="24">
        <f>COUNTIF($B$10,"D")+COUNTIF($J$11,"D")</f>
        <v>0</v>
      </c>
      <c r="I4" s="24">
        <f>D10+F11</f>
        <v>0</v>
      </c>
      <c r="J4" s="24">
        <f>F10+D11</f>
        <v>0</v>
      </c>
      <c r="K4" s="24">
        <f>I4-J4</f>
        <v>0</v>
      </c>
    </row>
    <row r="5" spans="1:11" s="24" customFormat="1" x14ac:dyDescent="0.25">
      <c r="A5" s="16" t="s">
        <v>37</v>
      </c>
      <c r="C5" s="1" t="s">
        <v>37</v>
      </c>
      <c r="D5" s="24">
        <f>F5*3+G5</f>
        <v>0</v>
      </c>
      <c r="E5" s="24">
        <f>SUM(F5:H5)</f>
        <v>0</v>
      </c>
      <c r="F5" s="24">
        <f>COUNTIF($J$9,"V")+COUNTIF($B$11,"V")</f>
        <v>0</v>
      </c>
      <c r="G5" s="24">
        <f>COUNTIF($J$9,"E")+COUNTIF($B$11,"E")</f>
        <v>0</v>
      </c>
      <c r="H5" s="24">
        <f>COUNTIF($J$9,"D")+COUNTIF($B$11,"D")</f>
        <v>0</v>
      </c>
      <c r="I5" s="24">
        <f>D11+F9</f>
        <v>0</v>
      </c>
      <c r="J5" s="24">
        <f>D9+F11</f>
        <v>0</v>
      </c>
      <c r="K5" s="24">
        <f>I5-J5</f>
        <v>0</v>
      </c>
    </row>
    <row r="8" spans="1:11" x14ac:dyDescent="0.25">
      <c r="C8" s="28" t="s">
        <v>40</v>
      </c>
    </row>
    <row r="9" spans="1:11" x14ac:dyDescent="0.25">
      <c r="A9" s="5">
        <v>0.64583333333333337</v>
      </c>
      <c r="B9" t="str">
        <f>IF(D9="","-",IF(D9=F9,"E",IF(D9&gt;F9,"V","D")))</f>
        <v>-</v>
      </c>
      <c r="C9" s="14" t="s">
        <v>35</v>
      </c>
      <c r="D9" s="8"/>
      <c r="E9" s="9" t="s">
        <v>2</v>
      </c>
      <c r="F9" s="8"/>
      <c r="G9" s="40" t="s">
        <v>1</v>
      </c>
      <c r="H9" s="54"/>
      <c r="I9" s="54"/>
      <c r="J9" t="str">
        <f>IF(F9="","-",IF(F9=D9,"E",IF(F9&gt;D9,"V","D")))</f>
        <v>-</v>
      </c>
    </row>
    <row r="10" spans="1:11" x14ac:dyDescent="0.25">
      <c r="A10" s="5">
        <v>0.6840277777777779</v>
      </c>
      <c r="B10" t="str">
        <f t="shared" ref="B10:B11" si="0">IF(D10="","-",IF(D10=F10,"E",IF(D10&gt;F10,"V","D")))</f>
        <v>-</v>
      </c>
      <c r="C10" s="14" t="s">
        <v>35</v>
      </c>
      <c r="D10" s="8"/>
      <c r="E10" s="9" t="s">
        <v>2</v>
      </c>
      <c r="F10" s="8"/>
      <c r="G10" s="38" t="s">
        <v>37</v>
      </c>
      <c r="H10" s="55"/>
      <c r="I10" s="55"/>
      <c r="J10" t="str">
        <f t="shared" ref="J10:J11" si="1">IF(F10="","-",IF(F10=D10,"E",IF(F10&gt;D10,"V","D")))</f>
        <v>-</v>
      </c>
    </row>
    <row r="11" spans="1:11" x14ac:dyDescent="0.25">
      <c r="A11" s="5">
        <v>0.71875000000000022</v>
      </c>
      <c r="B11" t="str">
        <f t="shared" si="0"/>
        <v>-</v>
      </c>
      <c r="C11" s="1" t="s">
        <v>1</v>
      </c>
      <c r="D11" s="8"/>
      <c r="E11" s="9" t="s">
        <v>2</v>
      </c>
      <c r="F11" s="8"/>
      <c r="G11" s="38" t="s">
        <v>37</v>
      </c>
      <c r="H11" s="55"/>
      <c r="I11" s="55"/>
      <c r="J11" t="str">
        <f t="shared" si="1"/>
        <v>-</v>
      </c>
    </row>
    <row r="12" spans="1:11" x14ac:dyDescent="0.25">
      <c r="A12" s="5"/>
      <c r="C12" s="1"/>
      <c r="D12" s="2"/>
      <c r="E12" s="3"/>
      <c r="F12" s="2"/>
      <c r="G12" s="33"/>
      <c r="H12" s="34"/>
      <c r="I12" s="34"/>
    </row>
    <row r="13" spans="1:11" x14ac:dyDescent="0.25">
      <c r="A13" s="5"/>
      <c r="C13" s="1"/>
      <c r="D13" s="2"/>
      <c r="E13" s="3"/>
      <c r="F13" s="2"/>
      <c r="G13" s="33"/>
      <c r="H13" s="34"/>
      <c r="I13" s="34"/>
    </row>
    <row r="14" spans="1:11" x14ac:dyDescent="0.25">
      <c r="A14" s="5"/>
      <c r="C14" s="1"/>
      <c r="D14" s="2"/>
      <c r="E14" s="3"/>
      <c r="F14" s="2"/>
      <c r="G14" s="33"/>
      <c r="H14" s="34"/>
      <c r="I14" s="34"/>
    </row>
    <row r="15" spans="1:11" x14ac:dyDescent="0.25">
      <c r="A15" s="5"/>
      <c r="C15" s="1"/>
      <c r="D15" s="2"/>
      <c r="E15" s="3"/>
      <c r="F15" s="2"/>
      <c r="G15" s="33"/>
      <c r="H15" s="34"/>
      <c r="I15" s="34"/>
    </row>
    <row r="16" spans="1:11" x14ac:dyDescent="0.25">
      <c r="A16" s="5"/>
      <c r="C16" s="1"/>
      <c r="D16" s="2"/>
      <c r="E16" s="3"/>
      <c r="F16" s="2"/>
      <c r="G16" s="33"/>
      <c r="H16" s="34"/>
      <c r="I16" s="34"/>
    </row>
    <row r="17" spans="1:9" x14ac:dyDescent="0.25">
      <c r="A17" s="5"/>
      <c r="C17" s="1"/>
      <c r="D17" s="2"/>
      <c r="E17" s="3"/>
      <c r="F17" s="2"/>
      <c r="G17" s="6"/>
      <c r="H17" s="7"/>
      <c r="I17" s="7"/>
    </row>
    <row r="18" spans="1:9" x14ac:dyDescent="0.25">
      <c r="A18" s="5"/>
      <c r="C18" s="1"/>
      <c r="D18" s="2"/>
      <c r="E18" s="3"/>
      <c r="F18" s="2"/>
      <c r="G18" s="6"/>
      <c r="H18" s="7"/>
      <c r="I18" s="7"/>
    </row>
    <row r="19" spans="1:9" x14ac:dyDescent="0.25">
      <c r="A19" s="5"/>
      <c r="C19" s="1"/>
      <c r="D19" s="2"/>
      <c r="E19" s="3"/>
      <c r="F19" s="2"/>
      <c r="G19" s="6"/>
      <c r="H19" s="7"/>
      <c r="I19" s="7"/>
    </row>
    <row r="20" spans="1:9" x14ac:dyDescent="0.25">
      <c r="C20" s="28"/>
      <c r="D20" s="2"/>
      <c r="E20" s="3"/>
      <c r="F20" s="2"/>
      <c r="G20" s="6"/>
      <c r="H20" s="7"/>
      <c r="I20" s="7"/>
    </row>
    <row r="21" spans="1:9" x14ac:dyDescent="0.25">
      <c r="A21" s="5"/>
      <c r="C21" s="1"/>
      <c r="D21" s="2"/>
      <c r="E21" s="3"/>
      <c r="F21" s="2"/>
      <c r="G21" s="33"/>
      <c r="H21" s="34"/>
      <c r="I21" s="34"/>
    </row>
    <row r="22" spans="1:9" x14ac:dyDescent="0.25">
      <c r="A22" s="5"/>
      <c r="C22" s="1"/>
      <c r="D22" s="2"/>
      <c r="E22" s="3"/>
      <c r="F22" s="2"/>
      <c r="G22" s="33"/>
      <c r="H22" s="34"/>
      <c r="I22" s="34"/>
    </row>
    <row r="23" spans="1:9" x14ac:dyDescent="0.25">
      <c r="A23" s="5"/>
      <c r="C23" s="1"/>
      <c r="D23" s="2"/>
      <c r="E23" s="3"/>
      <c r="F23" s="2"/>
      <c r="G23" s="33"/>
      <c r="H23" s="34"/>
      <c r="I23" s="34"/>
    </row>
    <row r="24" spans="1:9" x14ac:dyDescent="0.25">
      <c r="A24" s="5"/>
      <c r="C24" s="1"/>
      <c r="D24" s="2"/>
      <c r="E24" s="3"/>
      <c r="F24" s="2"/>
      <c r="G24" s="33"/>
      <c r="H24" s="34"/>
      <c r="I24" s="34"/>
    </row>
    <row r="25" spans="1:9" x14ac:dyDescent="0.25">
      <c r="A25" s="5"/>
      <c r="C25" s="1"/>
      <c r="D25" s="2"/>
      <c r="E25" s="3"/>
      <c r="F25" s="2"/>
      <c r="G25" s="33"/>
      <c r="H25" s="34"/>
      <c r="I25" s="34"/>
    </row>
    <row r="26" spans="1:9" x14ac:dyDescent="0.25">
      <c r="A26" s="5"/>
      <c r="C26" s="1"/>
      <c r="D26" s="2"/>
      <c r="E26" s="3"/>
      <c r="F26" s="2"/>
      <c r="G26" s="33"/>
      <c r="H26" s="34"/>
      <c r="I26" s="34"/>
    </row>
    <row r="27" spans="1:9" x14ac:dyDescent="0.25">
      <c r="A27" s="5"/>
      <c r="C27" s="1"/>
      <c r="D27" s="2"/>
      <c r="E27" s="3"/>
      <c r="F27" s="2"/>
      <c r="G27" s="33"/>
      <c r="H27" s="34"/>
      <c r="I27" s="34"/>
    </row>
    <row r="28" spans="1:9" x14ac:dyDescent="0.25">
      <c r="A28" s="5"/>
      <c r="C28" s="1"/>
      <c r="D28" s="2"/>
      <c r="E28" s="3"/>
      <c r="F28" s="2"/>
      <c r="G28" s="33"/>
      <c r="H28" s="34"/>
      <c r="I28" s="34"/>
    </row>
    <row r="29" spans="1:9" x14ac:dyDescent="0.25">
      <c r="A29" s="5"/>
      <c r="C29" s="1"/>
      <c r="D29" s="2"/>
      <c r="E29" s="3"/>
      <c r="F29" s="2"/>
      <c r="G29" s="33"/>
      <c r="H29" s="34"/>
      <c r="I29" s="34"/>
    </row>
    <row r="30" spans="1:9" x14ac:dyDescent="0.25">
      <c r="A30" s="5"/>
      <c r="C30" s="1"/>
      <c r="D30" s="2"/>
      <c r="E30" s="3"/>
      <c r="F30" s="2"/>
      <c r="G30" s="33"/>
      <c r="H30" s="34"/>
      <c r="I30" s="34"/>
    </row>
    <row r="31" spans="1:9" x14ac:dyDescent="0.25">
      <c r="A31" s="5"/>
      <c r="C31" s="1"/>
      <c r="D31" s="2"/>
      <c r="E31" s="3"/>
      <c r="F31" s="2"/>
      <c r="G31" s="33"/>
      <c r="H31" s="34"/>
      <c r="I31" s="34"/>
    </row>
    <row r="32" spans="1:9" x14ac:dyDescent="0.25">
      <c r="A32" s="5"/>
      <c r="C32" s="1"/>
      <c r="D32" s="2"/>
      <c r="E32" s="3"/>
      <c r="F32" s="2"/>
      <c r="G32" s="33"/>
      <c r="H32" s="34"/>
      <c r="I32" s="34"/>
    </row>
    <row r="33" spans="1:9" x14ac:dyDescent="0.25">
      <c r="A33" s="5"/>
      <c r="C33" s="1"/>
      <c r="D33" s="2"/>
      <c r="E33" s="3"/>
      <c r="F33" s="2"/>
      <c r="G33" s="6"/>
      <c r="H33" s="7"/>
      <c r="I33" s="7"/>
    </row>
    <row r="34" spans="1:9" x14ac:dyDescent="0.25">
      <c r="C34" s="28"/>
    </row>
    <row r="35" spans="1:9" x14ac:dyDescent="0.25">
      <c r="A35" s="5"/>
      <c r="C35" s="1"/>
      <c r="D35" s="2"/>
      <c r="E35" s="3"/>
      <c r="F35" s="2"/>
      <c r="G35" s="33"/>
      <c r="H35" s="34"/>
      <c r="I35" s="34"/>
    </row>
    <row r="36" spans="1:9" x14ac:dyDescent="0.25">
      <c r="A36" s="5"/>
      <c r="C36" s="1"/>
      <c r="D36" s="2"/>
      <c r="E36" s="3"/>
      <c r="F36" s="2"/>
      <c r="G36" s="33"/>
      <c r="H36" s="34"/>
      <c r="I36" s="34"/>
    </row>
    <row r="37" spans="1:9" x14ac:dyDescent="0.25">
      <c r="A37" s="5"/>
      <c r="C37" s="1"/>
      <c r="D37" s="2"/>
      <c r="E37" s="3"/>
      <c r="F37" s="2"/>
      <c r="G37" s="33"/>
      <c r="H37" s="34"/>
      <c r="I37" s="34"/>
    </row>
    <row r="38" spans="1:9" x14ac:dyDescent="0.25">
      <c r="A38" s="5"/>
      <c r="C38" s="1"/>
      <c r="D38" s="2"/>
      <c r="E38" s="3"/>
      <c r="F38" s="2"/>
      <c r="G38" s="33"/>
      <c r="H38" s="34"/>
      <c r="I38" s="34"/>
    </row>
    <row r="39" spans="1:9" x14ac:dyDescent="0.25">
      <c r="A39" s="5"/>
      <c r="C39" s="1"/>
      <c r="D39" s="2"/>
      <c r="E39" s="3"/>
      <c r="F39" s="2"/>
      <c r="G39" s="33"/>
      <c r="H39" s="34"/>
      <c r="I39" s="34"/>
    </row>
    <row r="40" spans="1:9" x14ac:dyDescent="0.25">
      <c r="A40" s="5"/>
      <c r="C40" s="1"/>
      <c r="D40" s="2"/>
      <c r="E40" s="3"/>
      <c r="F40" s="2"/>
      <c r="G40" s="33"/>
      <c r="H40" s="34"/>
      <c r="I40" s="34"/>
    </row>
    <row r="41" spans="1:9" x14ac:dyDescent="0.25">
      <c r="A41" s="5"/>
      <c r="C41" s="11"/>
      <c r="D41" s="8"/>
      <c r="E41" s="9"/>
      <c r="F41" s="8"/>
      <c r="G41" s="46"/>
      <c r="H41" s="47"/>
      <c r="I41" s="47"/>
    </row>
    <row r="42" spans="1:9" x14ac:dyDescent="0.25">
      <c r="A42" s="5"/>
      <c r="C42" s="11"/>
      <c r="D42" s="8"/>
      <c r="F42" s="8"/>
      <c r="G42" s="44"/>
      <c r="H42" s="45"/>
      <c r="I42" s="45"/>
    </row>
    <row r="43" spans="1:9" x14ac:dyDescent="0.25">
      <c r="A43" s="5"/>
      <c r="C43" s="12"/>
      <c r="D43" s="8"/>
      <c r="E43" s="9"/>
      <c r="F43" s="8"/>
      <c r="G43" s="44"/>
      <c r="H43" s="45"/>
      <c r="I43" s="45"/>
    </row>
    <row r="44" spans="1:9" x14ac:dyDescent="0.25">
      <c r="A44" s="5"/>
      <c r="D44" s="8"/>
      <c r="E44" s="9"/>
      <c r="F44" s="8"/>
      <c r="G44" s="42"/>
      <c r="H44" s="43"/>
      <c r="I44" s="43"/>
    </row>
    <row r="46" spans="1:9" x14ac:dyDescent="0.25">
      <c r="C46" s="28"/>
    </row>
    <row r="47" spans="1:9" x14ac:dyDescent="0.25">
      <c r="A47" s="5"/>
      <c r="C47" s="1"/>
      <c r="D47" s="2"/>
      <c r="E47" s="3"/>
      <c r="F47" s="2"/>
      <c r="G47" s="33"/>
      <c r="H47" s="34"/>
      <c r="I47" s="34"/>
    </row>
    <row r="48" spans="1:9" x14ac:dyDescent="0.25">
      <c r="A48" s="5"/>
      <c r="C48" s="1"/>
      <c r="D48" s="2"/>
      <c r="E48" s="3"/>
      <c r="F48" s="2"/>
      <c r="G48" s="33"/>
      <c r="H48" s="34"/>
      <c r="I48" s="34"/>
    </row>
    <row r="49" spans="1:9" x14ac:dyDescent="0.25">
      <c r="A49" s="5"/>
      <c r="C49" s="1"/>
      <c r="D49" s="2"/>
      <c r="E49" s="3"/>
      <c r="F49" s="2"/>
      <c r="G49" s="33"/>
      <c r="H49" s="34"/>
      <c r="I49" s="34"/>
    </row>
    <row r="50" spans="1:9" x14ac:dyDescent="0.25">
      <c r="A50" s="5"/>
      <c r="C50" s="1"/>
      <c r="D50" s="2"/>
      <c r="E50" s="3"/>
      <c r="F50" s="2"/>
      <c r="G50" s="33"/>
      <c r="H50" s="34"/>
      <c r="I50" s="34"/>
    </row>
    <row r="51" spans="1:9" x14ac:dyDescent="0.25">
      <c r="A51" s="5"/>
      <c r="C51" s="1"/>
      <c r="D51" s="2"/>
      <c r="E51" s="3"/>
      <c r="F51" s="2"/>
      <c r="G51" s="33"/>
      <c r="H51" s="34"/>
      <c r="I51" s="34"/>
    </row>
    <row r="52" spans="1:9" x14ac:dyDescent="0.25">
      <c r="A52" s="5"/>
      <c r="C52" s="1"/>
      <c r="D52" s="2"/>
      <c r="E52" s="3"/>
      <c r="F52" s="2"/>
      <c r="G52" s="33"/>
      <c r="H52" s="34"/>
      <c r="I52" s="34"/>
    </row>
    <row r="53" spans="1:9" x14ac:dyDescent="0.25">
      <c r="A53" s="5"/>
      <c r="C53" s="14"/>
      <c r="D53" s="8"/>
      <c r="E53" s="9"/>
      <c r="F53" s="8"/>
      <c r="G53" s="40"/>
      <c r="H53" s="41"/>
      <c r="I53" s="41"/>
    </row>
    <row r="54" spans="1:9" x14ac:dyDescent="0.25">
      <c r="A54" s="5"/>
      <c r="C54" s="14"/>
      <c r="D54" s="8"/>
      <c r="F54" s="8"/>
      <c r="G54" s="38"/>
      <c r="H54" s="39"/>
      <c r="I54" s="39"/>
    </row>
    <row r="55" spans="1:9" x14ac:dyDescent="0.25">
      <c r="A55" s="5"/>
      <c r="C55" s="15"/>
      <c r="D55" s="8"/>
      <c r="E55" s="9"/>
      <c r="F55" s="8"/>
      <c r="G55" s="38"/>
      <c r="H55" s="39"/>
      <c r="I55" s="39"/>
    </row>
    <row r="56" spans="1:9" x14ac:dyDescent="0.25">
      <c r="A56" s="5"/>
    </row>
  </sheetData>
  <autoFilter ref="C2:K2" xr:uid="{DE29A833-5B67-4067-9572-3FF68A4C4A8A}">
    <sortState ref="C3:K5">
      <sortCondition descending="1" ref="D2"/>
    </sortState>
  </autoFilter>
  <mergeCells count="40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21:I21"/>
    <mergeCell ref="G22:I22"/>
    <mergeCell ref="G23:I23"/>
    <mergeCell ref="G24:I24"/>
    <mergeCell ref="G25:I25"/>
    <mergeCell ref="G26:I26"/>
    <mergeCell ref="G27:I27"/>
    <mergeCell ref="G28:I28"/>
    <mergeCell ref="G43:I43"/>
    <mergeCell ref="G30:I30"/>
    <mergeCell ref="G31:I31"/>
    <mergeCell ref="G32:I32"/>
    <mergeCell ref="G35:I35"/>
    <mergeCell ref="G36:I36"/>
    <mergeCell ref="G37:I37"/>
    <mergeCell ref="G38:I38"/>
    <mergeCell ref="G39:I39"/>
    <mergeCell ref="G40:I40"/>
    <mergeCell ref="G41:I41"/>
    <mergeCell ref="G42:I42"/>
    <mergeCell ref="G52:I52"/>
    <mergeCell ref="G53:I53"/>
    <mergeCell ref="G54:I54"/>
    <mergeCell ref="G55:I55"/>
    <mergeCell ref="G44:I44"/>
    <mergeCell ref="G47:I47"/>
    <mergeCell ref="G48:I48"/>
    <mergeCell ref="G49:I49"/>
    <mergeCell ref="G50:I50"/>
    <mergeCell ref="G51:I5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Resultados</vt:lpstr>
      <vt:lpstr>U11_A</vt:lpstr>
      <vt:lpstr>U11_B</vt:lpstr>
      <vt:lpstr>U11_C</vt:lpstr>
      <vt:lpstr>U11_D</vt:lpstr>
      <vt:lpstr>U11_E</vt:lpstr>
      <vt:lpstr>U11_F</vt:lpstr>
      <vt:lpstr>U11_M</vt:lpstr>
      <vt:lpstr>U11_N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SCCourense</cp:lastModifiedBy>
  <dcterms:created xsi:type="dcterms:W3CDTF">2023-06-08T09:49:04Z</dcterms:created>
  <dcterms:modified xsi:type="dcterms:W3CDTF">2023-06-18T10:10:38Z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9f1b8819-87ea-48d7-98c9-80a20a16fa05</vt:lpwstr>
  </property>
</Properties>
</file>