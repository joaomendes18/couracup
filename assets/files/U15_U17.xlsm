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EsteLivro"/>
  <mc:AlternateContent xmlns:mc="http://schemas.openxmlformats.org/markup-compatibility/2006">
    <mc:Choice Requires="x15">
      <x15ac:absPath xmlns:x15ac="http://schemas.microsoft.com/office/spreadsheetml/2010/11/ac" url="C:\Projects\couracup\src\assets\files\"/>
    </mc:Choice>
  </mc:AlternateContent>
  <bookViews>
    <workbookView xWindow="0" yWindow="0" windowWidth="23040" windowHeight="9192" activeTab="1"/>
  </bookViews>
  <sheets>
    <sheet name="U15" sheetId="3" r:id="rId1"/>
    <sheet name="U17" sheetId="1" r:id="rId2"/>
  </sheets>
  <definedNames>
    <definedName name="_xlnm._FilterDatabase" localSheetId="0" hidden="1">'U15'!$C$1:$K$7</definedName>
    <definedName name="_xlnm._FilterDatabase" localSheetId="1" hidden="1">'U17'!$C$1:$K$1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" i="1" l="1"/>
  <c r="L7" i="3"/>
  <c r="I5" i="1" l="1"/>
  <c r="I7" i="3"/>
  <c r="J7" i="3"/>
  <c r="I2" i="3"/>
  <c r="J24" i="3"/>
  <c r="B24" i="3"/>
  <c r="J23" i="3"/>
  <c r="B23" i="3"/>
  <c r="J22" i="3"/>
  <c r="B22" i="3"/>
  <c r="J21" i="3"/>
  <c r="B21" i="3"/>
  <c r="J20" i="3"/>
  <c r="B20" i="3"/>
  <c r="J19" i="3"/>
  <c r="B19" i="3"/>
  <c r="J18" i="3"/>
  <c r="B18" i="3"/>
  <c r="J17" i="3"/>
  <c r="B17" i="3"/>
  <c r="J16" i="3"/>
  <c r="B16" i="3"/>
  <c r="J15" i="3"/>
  <c r="B15" i="3"/>
  <c r="J14" i="3"/>
  <c r="B14" i="3"/>
  <c r="J13" i="3"/>
  <c r="B13" i="3"/>
  <c r="J12" i="3"/>
  <c r="B12" i="3"/>
  <c r="J11" i="3"/>
  <c r="F2" i="3" s="1"/>
  <c r="B11" i="3"/>
  <c r="F5" i="3" s="1"/>
  <c r="J10" i="3"/>
  <c r="H4" i="3" s="1"/>
  <c r="B10" i="3"/>
  <c r="G3" i="3" s="1"/>
  <c r="J9" i="3"/>
  <c r="B9" i="3"/>
  <c r="G7" i="3" s="1"/>
  <c r="J3" i="3"/>
  <c r="I3" i="3"/>
  <c r="J5" i="3"/>
  <c r="I5" i="3"/>
  <c r="J4" i="3"/>
  <c r="I4" i="3"/>
  <c r="J6" i="3"/>
  <c r="I6" i="3"/>
  <c r="J2" i="3"/>
  <c r="J2" i="1"/>
  <c r="J3" i="1"/>
  <c r="J4" i="1"/>
  <c r="J6" i="1"/>
  <c r="J7" i="1"/>
  <c r="I2" i="1"/>
  <c r="I3" i="1"/>
  <c r="I4" i="1"/>
  <c r="I6" i="1"/>
  <c r="I7" i="1"/>
  <c r="J5" i="1"/>
  <c r="J18" i="1"/>
  <c r="J19" i="1"/>
  <c r="J20" i="1"/>
  <c r="J21" i="1"/>
  <c r="J22" i="1"/>
  <c r="J23" i="1"/>
  <c r="J24" i="1"/>
  <c r="J10" i="1"/>
  <c r="F4" i="1" s="1"/>
  <c r="J11" i="1"/>
  <c r="H7" i="1" s="1"/>
  <c r="J12" i="1"/>
  <c r="J13" i="1"/>
  <c r="J14" i="1"/>
  <c r="J15" i="1"/>
  <c r="J16" i="1"/>
  <c r="J9" i="1"/>
  <c r="G6" i="1" s="1"/>
  <c r="B10" i="1"/>
  <c r="H2" i="1" s="1"/>
  <c r="B11" i="1"/>
  <c r="H3" i="1" s="1"/>
  <c r="B12" i="1"/>
  <c r="B13" i="1"/>
  <c r="B14" i="1"/>
  <c r="B15" i="1"/>
  <c r="B16" i="1"/>
  <c r="B18" i="1"/>
  <c r="B19" i="1"/>
  <c r="B20" i="1"/>
  <c r="B21" i="1"/>
  <c r="B22" i="1"/>
  <c r="B23" i="1"/>
  <c r="B24" i="1"/>
  <c r="B9" i="1"/>
  <c r="G5" i="1" s="1"/>
  <c r="H6" i="1" l="1"/>
  <c r="G4" i="1"/>
  <c r="F7" i="1"/>
  <c r="D7" i="1" s="1"/>
  <c r="G7" i="1"/>
  <c r="F3" i="1"/>
  <c r="G3" i="1"/>
  <c r="H4" i="1"/>
  <c r="F2" i="1"/>
  <c r="G2" i="1"/>
  <c r="F5" i="1"/>
  <c r="F6" i="1"/>
  <c r="E6" i="1" s="1"/>
  <c r="G4" i="3"/>
  <c r="H3" i="3"/>
  <c r="F4" i="3"/>
  <c r="F3" i="3"/>
  <c r="D3" i="3" s="1"/>
  <c r="F7" i="3"/>
  <c r="D7" i="3" s="1"/>
  <c r="K4" i="3"/>
  <c r="H6" i="3"/>
  <c r="G5" i="3"/>
  <c r="K3" i="3"/>
  <c r="K2" i="3"/>
  <c r="K5" i="3"/>
  <c r="H7" i="3"/>
  <c r="K6" i="3"/>
  <c r="K7" i="3"/>
  <c r="F6" i="3"/>
  <c r="G2" i="3"/>
  <c r="D2" i="3" s="1"/>
  <c r="G6" i="3"/>
  <c r="H5" i="3"/>
  <c r="H2" i="3"/>
  <c r="K4" i="1"/>
  <c r="K7" i="1"/>
  <c r="K6" i="1"/>
  <c r="K2" i="1"/>
  <c r="K3" i="1"/>
  <c r="K5" i="1"/>
  <c r="E7" i="1"/>
  <c r="H5" i="1"/>
  <c r="E4" i="3" l="1"/>
  <c r="D4" i="3"/>
  <c r="E4" i="1"/>
  <c r="D4" i="1"/>
  <c r="D6" i="1"/>
  <c r="E2" i="1"/>
  <c r="D3" i="1"/>
  <c r="E3" i="1"/>
  <c r="D2" i="1"/>
  <c r="E3" i="3"/>
  <c r="E7" i="3"/>
  <c r="E2" i="3"/>
  <c r="E5" i="3"/>
  <c r="D5" i="3"/>
  <c r="E6" i="3"/>
  <c r="D6" i="3"/>
  <c r="E5" i="1"/>
  <c r="D5" i="1"/>
</calcChain>
</file>

<file path=xl/sharedStrings.xml><?xml version="1.0" encoding="utf-8"?>
<sst xmlns="http://schemas.openxmlformats.org/spreadsheetml/2006/main" count="120" uniqueCount="22">
  <si>
    <t>S.C Courense</t>
  </si>
  <si>
    <t>x</t>
  </si>
  <si>
    <t>S.C.L.E</t>
  </si>
  <si>
    <t>FC Brufense</t>
  </si>
  <si>
    <t>GD Guisande</t>
  </si>
  <si>
    <t>FC Maia Lidador</t>
  </si>
  <si>
    <t>SC Castelo da Maia</t>
  </si>
  <si>
    <t>GDR Os Sandinenses</t>
  </si>
  <si>
    <t>Celta Academy Braga </t>
  </si>
  <si>
    <t>FC Marinhas</t>
  </si>
  <si>
    <t>GD Apulia</t>
  </si>
  <si>
    <t>Castelo da Maia</t>
  </si>
  <si>
    <t>Equipa</t>
  </si>
  <si>
    <t>Pontos</t>
  </si>
  <si>
    <t>J</t>
  </si>
  <si>
    <t>V</t>
  </si>
  <si>
    <t>E</t>
  </si>
  <si>
    <t>D</t>
  </si>
  <si>
    <t>GM</t>
  </si>
  <si>
    <t>GS</t>
  </si>
  <si>
    <t>DIFG</t>
  </si>
  <si>
    <t>S.C. Leões das Enguardas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</si>
</sst>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  <font>
      <b/>
      <sz val="10"/>
      <color rgb="FFFA7D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/>
      <right/>
      <top/>
      <bottom style="dashed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4">
    <xf numFmtId="0" fontId="0" fillId="0" borderId="0" xfId="0"/>
    <xf numFmtId="0" fontId="3" fillId="0" borderId="3" xfId="0" applyFont="1" applyBorder="1" applyAlignment="1" applyProtection="1">
      <alignment horizontal="center" vertical="center"/>
      <protection hidden="1"/>
    </xf>
    <xf numFmtId="0" fontId="4" fillId="0" borderId="1" xfId="1" applyFont="1" applyFill="1" applyAlignment="1" applyProtection="1">
      <alignment horizontal="center" vertical="center"/>
      <protection locked="0"/>
    </xf>
    <xf numFmtId="0" fontId="4" fillId="0" borderId="1" xfId="1" applyFont="1" applyFill="1" applyAlignment="1" applyProtection="1">
      <alignment horizontal="center" vertical="center"/>
      <protection hidden="1"/>
    </xf>
    <xf numFmtId="0" fontId="0" fillId="0" borderId="4" xfId="0" applyBorder="1"/>
    <xf numFmtId="0" fontId="0" fillId="0" borderId="0" xfId="0" applyFill="1" applyAlignment="1">
      <alignment horizontal="right" vertical="center"/>
    </xf>
    <xf numFmtId="20" fontId="0" fillId="0" borderId="0" xfId="0" applyNumberFormat="1" applyFill="1" applyAlignment="1">
      <alignment horizontal="right" vertical="center"/>
    </xf>
    <xf numFmtId="20" fontId="2" fillId="0" borderId="2" xfId="0" applyNumberFormat="1" applyFont="1" applyFill="1" applyBorder="1" applyAlignment="1">
      <alignment horizontal="right" vertical="center" wrapText="1"/>
    </xf>
    <xf numFmtId="0" fontId="3" fillId="0" borderId="5" xfId="0" applyFont="1" applyBorder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right" vertical="center"/>
    </xf>
    <xf numFmtId="20" fontId="2" fillId="0" borderId="0" xfId="0" applyNumberFormat="1" applyFont="1" applyFill="1" applyBorder="1" applyAlignment="1">
      <alignment horizontal="right" vertical="center" wrapText="1"/>
    </xf>
    <xf numFmtId="20" fontId="0" fillId="0" borderId="0" xfId="0" applyNumberFormat="1" applyFill="1" applyBorder="1" applyAlignment="1">
      <alignment horizontal="right" vertical="center"/>
    </xf>
  </cellXfs>
  <cellStyles count="2">
    <cellStyle name="Calculation" xfId="1" builtinId="2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"/>
  <dimension ref="A1:L24"/>
  <sheetViews>
    <sheetView workbookViewId="0">
      <selection activeCell="L8" sqref="L8"/>
    </sheetView>
  </sheetViews>
  <sheetFormatPr defaultRowHeight="14.4" x14ac:dyDescent="0.3"/>
  <cols>
    <col min="1" max="1" width="8.88671875" style="5"/>
    <col min="3" max="3" width="20" bestFit="1" customWidth="1"/>
    <col min="7" max="7" width="9.109375" customWidth="1"/>
    <col min="14" max="14" width="17.6640625" bestFit="1" customWidth="1"/>
  </cols>
  <sheetData>
    <row r="1" spans="1:12" x14ac:dyDescent="0.3">
      <c r="C1" s="4" t="s">
        <v>12</v>
      </c>
      <c r="D1" s="4" t="s">
        <v>13</v>
      </c>
      <c r="E1" s="4" t="s">
        <v>14</v>
      </c>
      <c r="F1" s="4" t="s">
        <v>15</v>
      </c>
      <c r="G1" s="4" t="s">
        <v>16</v>
      </c>
      <c r="H1" s="4" t="s">
        <v>17</v>
      </c>
      <c r="I1" s="4" t="s">
        <v>18</v>
      </c>
      <c r="J1" s="4" t="s">
        <v>19</v>
      </c>
      <c r="K1" s="4" t="s">
        <v>20</v>
      </c>
    </row>
    <row r="2" spans="1:12" x14ac:dyDescent="0.3">
      <c r="C2" s="4" t="s">
        <v>11</v>
      </c>
      <c r="D2" s="4">
        <f>F2*3+G2</f>
        <v>0</v>
      </c>
      <c r="E2" s="4">
        <f>SUM(F2:H2)</f>
        <v>0</v>
      </c>
      <c r="F2" s="4">
        <f>COUNTIF($J$11,"V")+COUNTIF($J$13,"V")+COUNTIF($J$16,"V")+COUNTIF($J$20,"V")+COUNTIF($J$24,"V")</f>
        <v>0</v>
      </c>
      <c r="G2" s="4">
        <f>COUNTIF($J$13,"E")+COUNTIF($J$16,"E")+COUNTIF($J$20,"E")+COUNTIF($J$24,"E")+COUNTIF($J$11,"E")</f>
        <v>0</v>
      </c>
      <c r="H2" s="4">
        <f>COUNTIF($J$11,"D")+COUNTIF($J$13,"D")+COUNTIF($J$16,"D")+COUNTIF($J$20,"D")+COUNTIF($J$24,"D")</f>
        <v>0</v>
      </c>
      <c r="I2" s="4">
        <f>SUM($F$11+$F$13+$F$16+$F$24+$F$20)</f>
        <v>0</v>
      </c>
      <c r="J2" s="4">
        <f>SUM($D$11+$D$13+$D$16+$D$24+$D$20)</f>
        <v>0</v>
      </c>
      <c r="K2" s="4">
        <f>I2-J2</f>
        <v>0</v>
      </c>
    </row>
    <row r="3" spans="1:12" x14ac:dyDescent="0.3">
      <c r="C3" s="4" t="s">
        <v>8</v>
      </c>
      <c r="D3" s="4">
        <f>F3*3+G3</f>
        <v>0</v>
      </c>
      <c r="E3" s="4">
        <f>SUM(F3:H3)</f>
        <v>0</v>
      </c>
      <c r="F3" s="4">
        <f>COUNTIF($B$10,"V")+COUNTIF($J$12,"V")+COUNTIF($J$15,"V")+COUNTIF($B$23,"V")+COUNTIF($B$20,"V")</f>
        <v>0</v>
      </c>
      <c r="G3" s="4">
        <f>COUNTIF($B$10,"E")+COUNTIF($J$15,"E")+COUNTIF($B$23,"E")+COUNTIF($J$12,"E")+COUNTIF($B$20,"E")</f>
        <v>0</v>
      </c>
      <c r="H3" s="4">
        <f>COUNTIF($B$10,"D")+COUNTIF($J$15,"D")+COUNTIF($B$23,"D")+COUNTIF($J$12,"D")+COUNTIF($B$20,"D")</f>
        <v>0</v>
      </c>
      <c r="I3" s="4">
        <f>SUM($D$10+$F$15+$D$23+$D$20+$F$12)</f>
        <v>0</v>
      </c>
      <c r="J3" s="4">
        <f>SUM($D$10+$F$15+$D$23+$D$20+$F$12)</f>
        <v>0</v>
      </c>
      <c r="K3" s="4">
        <f>I3-J3</f>
        <v>0</v>
      </c>
    </row>
    <row r="4" spans="1:12" x14ac:dyDescent="0.3">
      <c r="C4" s="4" t="s">
        <v>9</v>
      </c>
      <c r="D4" s="4">
        <f>F4*3+G4</f>
        <v>0</v>
      </c>
      <c r="E4" s="4">
        <f>SUM(F4:H4)</f>
        <v>0</v>
      </c>
      <c r="F4" s="4">
        <f>COUNTIF($J$10,"V")+COUNTIF($B$14,"V")+COUNTIF($J$18,"V")+COUNTIF($J$22,"V")+COUNTIF($B$24,"V")</f>
        <v>0</v>
      </c>
      <c r="G4" s="4">
        <f>COUNTIF($J$10,"E")+COUNTIF($B$14,"E")+COUNTIF($J$18,"E")+COUNTIF($B$24,"E")+COUNTIF($J$22,"E")</f>
        <v>0</v>
      </c>
      <c r="H4" s="4">
        <f>COUNTIF($J$10,"D")+COUNTIF($B$14,"D")+COUNTIF($J$18,"D")+COUNTIF($J$22,"D")+COUNTIF($B$24,"D")</f>
        <v>0</v>
      </c>
      <c r="I4" s="4">
        <f>SUM($F$10+$D$14+$F$18+$F$22+$D$24)</f>
        <v>0</v>
      </c>
      <c r="J4" s="4">
        <f>SUM($D$10+$F$14+$D$18+$D$22+$F$24)</f>
        <v>0</v>
      </c>
      <c r="K4" s="4">
        <f>I4-J4</f>
        <v>0</v>
      </c>
    </row>
    <row r="5" spans="1:12" x14ac:dyDescent="0.3">
      <c r="C5" s="4" t="s">
        <v>10</v>
      </c>
      <c r="D5" s="4">
        <f>F5*3+G5</f>
        <v>0</v>
      </c>
      <c r="E5" s="4">
        <f>SUM(F5:H5)</f>
        <v>0</v>
      </c>
      <c r="F5" s="4">
        <f>COUNTIF($B$11,"V")+COUNTIF($J$14,"V")+COUNTIF($J$19,"V")+COUNTIF($J$21,"V")+COUNTIF($J$23,"V")</f>
        <v>0</v>
      </c>
      <c r="G5" s="4">
        <f>COUNTIF($B$11,"E")+COUNTIF($J$14,"E")+COUNTIF($J$19,"E")+COUNTIF($J$21,"E")+COUNTIF($J$23,"E")</f>
        <v>0</v>
      </c>
      <c r="H5" s="4">
        <f>COUNTIF($B$11,"D")+COUNTIF($J$14,"D")+COUNTIF($J$19,"D")+COUNTIF($J$21,"D")+COUNTIF($J$23,"D")</f>
        <v>0</v>
      </c>
      <c r="I5" s="4">
        <f>SUM($D$11+$F$14+$F$23+$F$21+$F$19)</f>
        <v>0</v>
      </c>
      <c r="J5" s="4">
        <f>SUM($F$11+$D$14+$D$23+$D$21+$D$19)</f>
        <v>0</v>
      </c>
      <c r="K5" s="4">
        <f>I5-J5</f>
        <v>0</v>
      </c>
    </row>
    <row r="6" spans="1:12" x14ac:dyDescent="0.3">
      <c r="C6" s="4" t="s">
        <v>7</v>
      </c>
      <c r="D6" s="4">
        <f>F6*3+G6</f>
        <v>0</v>
      </c>
      <c r="E6" s="4">
        <f>SUM(F6:H6)</f>
        <v>0</v>
      </c>
      <c r="F6" s="4">
        <f>COUNTIF($J$9,"V")+COUNTIF($B$12,"V")+COUNTIF($B$16,"V")+COUNTIF($B$19,"V")+COUNTIF($B$22,"V")</f>
        <v>0</v>
      </c>
      <c r="G6" s="4">
        <f>COUNTIF($J$9,"E")+COUNTIF($B$12,"E")+COUNTIF($B$16,"E")+COUNTIF($B$19,"E")+COUNTIF($B$22,"E")</f>
        <v>0</v>
      </c>
      <c r="H6" s="4">
        <f>COUNTIF($B$12,"D")+COUNTIF($J$9,"D")+COUNTIF($B$16,"D")+COUNTIF($B$19,"D")+COUNTIF($B$22,"D")</f>
        <v>0</v>
      </c>
      <c r="I6" s="4">
        <f>SUM($F$9+$D$12+$D$16+$D$22+$D$19)</f>
        <v>0</v>
      </c>
      <c r="J6" s="4">
        <f>SUM($D$9+$F$12+$F$16+$F$22+$F$19)</f>
        <v>0</v>
      </c>
      <c r="K6" s="4">
        <f>I6-J6</f>
        <v>0</v>
      </c>
    </row>
    <row r="7" spans="1:12" x14ac:dyDescent="0.3">
      <c r="C7" s="4" t="s">
        <v>0</v>
      </c>
      <c r="D7" s="4">
        <f>F7*3+G7</f>
        <v>0</v>
      </c>
      <c r="E7" s="4">
        <f>SUM(F7:H7)</f>
        <v>0</v>
      </c>
      <c r="F7" s="4">
        <f>COUNTIF($B$9,"V")+COUNTIF($B$13,"V")+COUNTIF($B$15,"V")+COUNTIF($B$18,"V")+COUNTIF($B$21,"V")</f>
        <v>0</v>
      </c>
      <c r="G7" s="4">
        <f>COUNTIF($B$9,"E")+COUNTIF($B$13,"E")+COUNTIF($B$15,"E")+COUNTIF($B$18,"E")+COUNTIF($B$21,"E")</f>
        <v>0</v>
      </c>
      <c r="H7" s="4">
        <f>COUNTIF($B$9,"D")+COUNTIF($B$13,"D")+COUNTIF($B$15,"D")+COUNTIF($B$18,"D")+COUNTIF($B$21,"D")</f>
        <v>0</v>
      </c>
      <c r="I7" s="4">
        <f>SUM($D$9+$D$13+$D$15+$D$21+$D$18)</f>
        <v>0</v>
      </c>
      <c r="J7" s="4">
        <f>SUM($F$9+$F$13+$F$15+$F$18+$F$21)</f>
        <v>0</v>
      </c>
      <c r="K7" s="4">
        <f>I7-J7</f>
        <v>0</v>
      </c>
      <c r="L7">
        <f>K2:K7</f>
        <v>0</v>
      </c>
    </row>
    <row r="9" spans="1:12" x14ac:dyDescent="0.3">
      <c r="A9" s="6">
        <v>0.39930555555555558</v>
      </c>
      <c r="B9" t="str">
        <f>IF(D9="","-",IF(D9=F9,"E",IF(D9&gt;F9,"V","D")))</f>
        <v>-</v>
      </c>
      <c r="C9" s="1" t="s">
        <v>0</v>
      </c>
      <c r="D9" s="2"/>
      <c r="E9" s="3" t="s">
        <v>1</v>
      </c>
      <c r="F9" s="2"/>
      <c r="G9" s="8" t="s">
        <v>7</v>
      </c>
      <c r="H9" s="9"/>
      <c r="I9" s="9"/>
      <c r="J9" t="str">
        <f>IF(F9="","-",IF(F9=D9,"E",IF(F9&gt;D9,"V","D")))</f>
        <v>-</v>
      </c>
    </row>
    <row r="10" spans="1:12" x14ac:dyDescent="0.3">
      <c r="A10" s="6">
        <v>0.44791666666666674</v>
      </c>
      <c r="B10" t="str">
        <f>IF(D10="","-",IF(D10=F10,"E",IF(D10&gt;F10,"V","D")))</f>
        <v>-</v>
      </c>
      <c r="C10" s="1" t="s">
        <v>8</v>
      </c>
      <c r="D10" s="2"/>
      <c r="E10" s="3" t="s">
        <v>1</v>
      </c>
      <c r="F10" s="2"/>
      <c r="G10" s="8" t="s">
        <v>9</v>
      </c>
      <c r="H10" s="9"/>
      <c r="I10" s="9"/>
      <c r="J10" t="str">
        <f t="shared" ref="J10:J24" si="0">IF(F10="","-",IF(F10=D10,"E",IF(F10&gt;D10,"V","D")))</f>
        <v>-</v>
      </c>
    </row>
    <row r="11" spans="1:12" x14ac:dyDescent="0.3">
      <c r="A11" s="6">
        <v>0.4965277777777779</v>
      </c>
      <c r="B11" t="str">
        <f t="shared" ref="B11:B24" si="1">IF(D11="","-",IF(D11=F11,"E",IF(D11&gt;F11,"V","D")))</f>
        <v>-</v>
      </c>
      <c r="C11" s="1" t="s">
        <v>10</v>
      </c>
      <c r="D11" s="2"/>
      <c r="E11" s="3" t="s">
        <v>1</v>
      </c>
      <c r="F11" s="2"/>
      <c r="G11" s="8" t="s">
        <v>6</v>
      </c>
      <c r="H11" s="9"/>
      <c r="I11" s="9"/>
      <c r="J11" t="str">
        <f t="shared" si="0"/>
        <v>-</v>
      </c>
    </row>
    <row r="12" spans="1:12" x14ac:dyDescent="0.3">
      <c r="A12" s="6">
        <v>0.58333333333333337</v>
      </c>
      <c r="B12" t="str">
        <f t="shared" si="1"/>
        <v>-</v>
      </c>
      <c r="C12" s="1" t="s">
        <v>7</v>
      </c>
      <c r="D12" s="2"/>
      <c r="E12" s="3" t="s">
        <v>1</v>
      </c>
      <c r="F12" s="2"/>
      <c r="G12" s="8" t="s">
        <v>8</v>
      </c>
      <c r="H12" s="9"/>
      <c r="I12" s="9"/>
      <c r="J12" t="str">
        <f t="shared" si="0"/>
        <v>-</v>
      </c>
    </row>
    <row r="13" spans="1:12" x14ac:dyDescent="0.3">
      <c r="A13" s="6">
        <v>0.63194444444444453</v>
      </c>
      <c r="B13" t="str">
        <f t="shared" si="1"/>
        <v>-</v>
      </c>
      <c r="C13" s="1" t="s">
        <v>0</v>
      </c>
      <c r="D13" s="2"/>
      <c r="E13" s="3" t="s">
        <v>1</v>
      </c>
      <c r="F13" s="2"/>
      <c r="G13" s="8" t="s">
        <v>6</v>
      </c>
      <c r="H13" s="9"/>
      <c r="I13" s="9"/>
      <c r="J13" t="str">
        <f t="shared" si="0"/>
        <v>-</v>
      </c>
    </row>
    <row r="14" spans="1:12" x14ac:dyDescent="0.3">
      <c r="A14" s="6">
        <v>0.68055555555555569</v>
      </c>
      <c r="B14" t="str">
        <f t="shared" si="1"/>
        <v>-</v>
      </c>
      <c r="C14" s="1" t="s">
        <v>9</v>
      </c>
      <c r="D14" s="2"/>
      <c r="E14" s="3" t="s">
        <v>1</v>
      </c>
      <c r="F14" s="2"/>
      <c r="G14" s="8" t="s">
        <v>10</v>
      </c>
      <c r="H14" s="9"/>
      <c r="I14" s="9"/>
      <c r="J14" t="str">
        <f t="shared" si="0"/>
        <v>-</v>
      </c>
    </row>
    <row r="15" spans="1:12" x14ac:dyDescent="0.3">
      <c r="A15" s="6">
        <v>0.72916666666666685</v>
      </c>
      <c r="B15" t="str">
        <f t="shared" si="1"/>
        <v>-</v>
      </c>
      <c r="C15" s="1" t="s">
        <v>0</v>
      </c>
      <c r="D15" s="2"/>
      <c r="E15" s="3" t="s">
        <v>1</v>
      </c>
      <c r="F15" s="2"/>
      <c r="G15" s="8" t="s">
        <v>8</v>
      </c>
      <c r="H15" s="9"/>
      <c r="I15" s="9"/>
      <c r="J15" t="str">
        <f t="shared" si="0"/>
        <v>-</v>
      </c>
    </row>
    <row r="16" spans="1:12" x14ac:dyDescent="0.3">
      <c r="A16" s="6">
        <v>0.77777777777777801</v>
      </c>
      <c r="B16" t="str">
        <f t="shared" si="1"/>
        <v>-</v>
      </c>
      <c r="C16" s="1" t="s">
        <v>7</v>
      </c>
      <c r="D16" s="2"/>
      <c r="E16" s="3" t="s">
        <v>1</v>
      </c>
      <c r="F16" s="2"/>
      <c r="G16" s="8" t="s">
        <v>6</v>
      </c>
      <c r="H16" s="9"/>
      <c r="I16" s="9"/>
      <c r="J16" t="str">
        <f t="shared" si="0"/>
        <v>-</v>
      </c>
    </row>
    <row r="17" spans="1:10" ht="15" thickBot="1" x14ac:dyDescent="0.35">
      <c r="B17" t="str">
        <f t="shared" si="1"/>
        <v>-</v>
      </c>
      <c r="G17" s="10"/>
      <c r="H17" s="10"/>
      <c r="I17" s="10"/>
      <c r="J17" t="str">
        <f>IF(F17="","-",IF(F17=D17,"E",IF(F17&gt;D17,"V","D")))</f>
        <v>-</v>
      </c>
    </row>
    <row r="18" spans="1:10" ht="15" thickBot="1" x14ac:dyDescent="0.35">
      <c r="A18" s="7">
        <v>0.375</v>
      </c>
      <c r="B18" t="str">
        <f t="shared" si="1"/>
        <v>-</v>
      </c>
      <c r="C18" s="1" t="s">
        <v>0</v>
      </c>
      <c r="D18" s="2"/>
      <c r="E18" s="3" t="s">
        <v>1</v>
      </c>
      <c r="F18" s="2"/>
      <c r="G18" s="8" t="s">
        <v>9</v>
      </c>
      <c r="H18" s="9"/>
      <c r="I18" s="9"/>
      <c r="J18" t="str">
        <f t="shared" si="0"/>
        <v>-</v>
      </c>
    </row>
    <row r="19" spans="1:10" x14ac:dyDescent="0.3">
      <c r="A19" s="6">
        <v>0.42361111111111116</v>
      </c>
      <c r="B19" t="str">
        <f t="shared" si="1"/>
        <v>-</v>
      </c>
      <c r="C19" s="1" t="s">
        <v>7</v>
      </c>
      <c r="D19" s="2"/>
      <c r="E19" s="3" t="s">
        <v>1</v>
      </c>
      <c r="F19" s="2"/>
      <c r="G19" s="8" t="s">
        <v>10</v>
      </c>
      <c r="H19" s="9"/>
      <c r="I19" s="9"/>
      <c r="J19" t="str">
        <f t="shared" si="0"/>
        <v>-</v>
      </c>
    </row>
    <row r="20" spans="1:10" x14ac:dyDescent="0.3">
      <c r="A20" s="6">
        <v>0.47222222222222232</v>
      </c>
      <c r="B20" t="str">
        <f t="shared" si="1"/>
        <v>-</v>
      </c>
      <c r="C20" s="1" t="s">
        <v>8</v>
      </c>
      <c r="D20" s="2"/>
      <c r="E20" s="3" t="s">
        <v>1</v>
      </c>
      <c r="F20" s="2"/>
      <c r="G20" s="8" t="s">
        <v>6</v>
      </c>
      <c r="H20" s="9"/>
      <c r="I20" s="9"/>
      <c r="J20" t="str">
        <f t="shared" si="0"/>
        <v>-</v>
      </c>
    </row>
    <row r="21" spans="1:10" x14ac:dyDescent="0.3">
      <c r="A21" s="6">
        <v>0.5625</v>
      </c>
      <c r="B21" t="str">
        <f t="shared" si="1"/>
        <v>-</v>
      </c>
      <c r="C21" s="1" t="s">
        <v>0</v>
      </c>
      <c r="D21" s="2"/>
      <c r="E21" s="3" t="s">
        <v>1</v>
      </c>
      <c r="F21" s="2"/>
      <c r="G21" s="8" t="s">
        <v>10</v>
      </c>
      <c r="H21" s="9"/>
      <c r="I21" s="9"/>
      <c r="J21" t="str">
        <f t="shared" si="0"/>
        <v>-</v>
      </c>
    </row>
    <row r="22" spans="1:10" x14ac:dyDescent="0.3">
      <c r="A22" s="6">
        <v>0.61111111111111116</v>
      </c>
      <c r="B22" t="str">
        <f t="shared" si="1"/>
        <v>-</v>
      </c>
      <c r="C22" s="1" t="s">
        <v>7</v>
      </c>
      <c r="D22" s="2"/>
      <c r="E22" s="3" t="s">
        <v>1</v>
      </c>
      <c r="F22" s="2"/>
      <c r="G22" s="8" t="s">
        <v>9</v>
      </c>
      <c r="H22" s="9"/>
      <c r="I22" s="9"/>
      <c r="J22" t="str">
        <f t="shared" si="0"/>
        <v>-</v>
      </c>
    </row>
    <row r="23" spans="1:10" x14ac:dyDescent="0.3">
      <c r="A23" s="6">
        <v>0.65972222222222232</v>
      </c>
      <c r="B23" t="str">
        <f t="shared" si="1"/>
        <v>-</v>
      </c>
      <c r="C23" s="1" t="s">
        <v>8</v>
      </c>
      <c r="D23" s="2"/>
      <c r="E23" s="3" t="s">
        <v>1</v>
      </c>
      <c r="F23" s="2"/>
      <c r="G23" s="8" t="s">
        <v>10</v>
      </c>
      <c r="H23" s="9"/>
      <c r="I23" s="9"/>
      <c r="J23" t="str">
        <f t="shared" si="0"/>
        <v>-</v>
      </c>
    </row>
    <row r="24" spans="1:10" x14ac:dyDescent="0.3">
      <c r="A24" s="6">
        <v>0.70833333333333348</v>
      </c>
      <c r="B24" t="str">
        <f t="shared" si="1"/>
        <v>-</v>
      </c>
      <c r="C24" s="1" t="s">
        <v>9</v>
      </c>
      <c r="D24" s="2"/>
      <c r="E24" s="3" t="s">
        <v>1</v>
      </c>
      <c r="F24" s="2"/>
      <c r="G24" s="8" t="s">
        <v>6</v>
      </c>
      <c r="H24" s="9"/>
      <c r="I24" s="9"/>
      <c r="J24" t="str">
        <f t="shared" si="0"/>
        <v>-</v>
      </c>
    </row>
  </sheetData>
  <autoFilter ref="C1:K7">
    <sortState ref="C2:K7">
      <sortCondition descending="1" ref="D2:D7"/>
      <sortCondition descending="1" ref="K2:K7"/>
      <sortCondition ref="C2:C7"/>
    </sortState>
  </autoFilter>
  <sortState ref="C2:K7">
    <sortCondition descending="1" ref="D2:D7"/>
    <sortCondition descending="1" ref="K2:K7"/>
  </sortState>
  <mergeCells count="16">
    <mergeCell ref="G14:I14"/>
    <mergeCell ref="G9:I9"/>
    <mergeCell ref="G10:I10"/>
    <mergeCell ref="G11:I11"/>
    <mergeCell ref="G12:I12"/>
    <mergeCell ref="G13:I13"/>
    <mergeCell ref="G21:I21"/>
    <mergeCell ref="G22:I22"/>
    <mergeCell ref="G23:I23"/>
    <mergeCell ref="G24:I24"/>
    <mergeCell ref="G15:I15"/>
    <mergeCell ref="G16:I16"/>
    <mergeCell ref="G17:I17"/>
    <mergeCell ref="G18:I18"/>
    <mergeCell ref="G19:I19"/>
    <mergeCell ref="G20:I20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"/>
  <dimension ref="A1:L24"/>
  <sheetViews>
    <sheetView tabSelected="1" workbookViewId="0">
      <selection activeCell="L8" sqref="L8"/>
    </sheetView>
  </sheetViews>
  <sheetFormatPr defaultRowHeight="14.4" x14ac:dyDescent="0.3"/>
  <cols>
    <col min="1" max="1" width="8.88671875" style="11"/>
    <col min="3" max="3" width="21.6640625" bestFit="1" customWidth="1"/>
    <col min="7" max="7" width="9.109375" customWidth="1"/>
    <col min="14" max="14" width="17.6640625" bestFit="1" customWidth="1"/>
  </cols>
  <sheetData>
    <row r="1" spans="1:12" x14ac:dyDescent="0.3">
      <c r="C1" s="4" t="s">
        <v>12</v>
      </c>
      <c r="D1" s="4" t="s">
        <v>13</v>
      </c>
      <c r="E1" s="4" t="s">
        <v>14</v>
      </c>
      <c r="F1" s="4" t="s">
        <v>15</v>
      </c>
      <c r="G1" s="4" t="s">
        <v>16</v>
      </c>
      <c r="H1" s="4" t="s">
        <v>17</v>
      </c>
      <c r="I1" s="4" t="s">
        <v>18</v>
      </c>
      <c r="J1" s="4" t="s">
        <v>19</v>
      </c>
      <c r="K1" s="4" t="s">
        <v>20</v>
      </c>
    </row>
    <row r="2" spans="1:12" x14ac:dyDescent="0.3">
      <c r="C2" s="4" t="s">
        <v>3</v>
      </c>
      <c r="D2" s="4">
        <f>F2*3+G2</f>
        <v>0</v>
      </c>
      <c r="E2" s="4">
        <f>SUM(F2:H2)</f>
        <v>0</v>
      </c>
      <c r="F2" s="4">
        <f>COUNTIF($B$10,"V")+COUNTIF($J$12,"V")+COUNTIF($J$15,"V")+COUNTIF($B$23,"V")+COUNTIF($B$20,"V")</f>
        <v>0</v>
      </c>
      <c r="G2" s="4">
        <f>COUNTIF($B$10,"E")+COUNTIF($J$15,"E")+COUNTIF($B$23,"E")+COUNTIF($J$12,"E")+COUNTIF($B$20,"E")</f>
        <v>0</v>
      </c>
      <c r="H2" s="4">
        <f>COUNTIF($B$10,"D")+COUNTIF($J$15,"D")+COUNTIF($B$23,"D")+COUNTIF($J$12,"D")+COUNTIF($B$20,"D")</f>
        <v>0</v>
      </c>
      <c r="I2" s="4">
        <f>SUM($D$10+$F$15+$D$23+$D$20+$F$12)</f>
        <v>0</v>
      </c>
      <c r="J2" s="4">
        <f>SUM($D$10+$F$15+$D$23+$D$20+$F$12)</f>
        <v>0</v>
      </c>
      <c r="K2" s="4">
        <f>I2-J2</f>
        <v>0</v>
      </c>
    </row>
    <row r="3" spans="1:12" x14ac:dyDescent="0.3">
      <c r="C3" s="4" t="s">
        <v>5</v>
      </c>
      <c r="D3" s="4">
        <f>F3*3+G3</f>
        <v>0</v>
      </c>
      <c r="E3" s="4">
        <f>SUM(F3:H3)</f>
        <v>0</v>
      </c>
      <c r="F3" s="4">
        <f>COUNTIF($B$11,"V")+COUNTIF($J$14,"V")+COUNTIF($J$19,"V")+COUNTIF($J$21,"V")+COUNTIF($J$23,"V")</f>
        <v>0</v>
      </c>
      <c r="G3" s="4">
        <f>COUNTIF($B$11,"E")+COUNTIF($J$14,"E")+COUNTIF($J$19,"E")+COUNTIF($J$21,"E")+COUNTIF($J$23,"E")</f>
        <v>0</v>
      </c>
      <c r="H3" s="4">
        <f>COUNTIF($B$11,"D")+COUNTIF($J$14,"D")+COUNTIF($J$19,"D")+COUNTIF($J$21,"D")+COUNTIF($J$23,"D")</f>
        <v>0</v>
      </c>
      <c r="I3" s="4">
        <f>SUM($D$11+$F$14+$F$23+$F$21+$F$19)</f>
        <v>0</v>
      </c>
      <c r="J3" s="4">
        <f>SUM($F$11+$D$14+$D$23+$D$21+$D$19)</f>
        <v>0</v>
      </c>
      <c r="K3" s="4">
        <f>I3-J3</f>
        <v>0</v>
      </c>
    </row>
    <row r="4" spans="1:12" x14ac:dyDescent="0.3">
      <c r="C4" s="4" t="s">
        <v>4</v>
      </c>
      <c r="D4" s="4">
        <f>F4*3+G4</f>
        <v>0</v>
      </c>
      <c r="E4" s="4">
        <f>SUM(F4:H4)</f>
        <v>0</v>
      </c>
      <c r="F4" s="4">
        <f>COUNTIF($J$10,"V")+COUNTIF($B$14,"V")+COUNTIF($J$18,"V")+COUNTIF($J$22,"V")+COUNTIF($B$24,"V")</f>
        <v>0</v>
      </c>
      <c r="G4" s="4">
        <f>COUNTIF($J$10,"E")+COUNTIF($B$14,"E")+COUNTIF($J$18,"E")+COUNTIF($B$24,"E")+COUNTIF($J$22,"E")</f>
        <v>0</v>
      </c>
      <c r="H4" s="4">
        <f>COUNTIF($J$10,"D")+COUNTIF($B$14,"D")+COUNTIF($J$18,"D")+COUNTIF($J$22,"D")+COUNTIF($B$24,"D")</f>
        <v>0</v>
      </c>
      <c r="I4" s="4">
        <f>SUM($F$10+$D$14+$F$18+$F$22+$D$24)</f>
        <v>0</v>
      </c>
      <c r="J4" s="4">
        <f>SUM($D$10+$F$14+$D$18+$D$22+$F$24)</f>
        <v>0</v>
      </c>
      <c r="K4" s="4">
        <f>I4-J4</f>
        <v>0</v>
      </c>
    </row>
    <row r="5" spans="1:12" x14ac:dyDescent="0.3">
      <c r="C5" s="4" t="s">
        <v>0</v>
      </c>
      <c r="D5" s="4">
        <f>F5*3+G5</f>
        <v>0</v>
      </c>
      <c r="E5" s="4">
        <f>SUM(F5:H5)</f>
        <v>0</v>
      </c>
      <c r="F5" s="4">
        <f>COUNTIF($B$9,"V")+COUNTIF($B$13,"V")+COUNTIF($B$15,"V")+COUNTIF($B$18,"V")+COUNTIF($B$21,"V")</f>
        <v>0</v>
      </c>
      <c r="G5" s="4">
        <f>COUNTIF($B$9,"E")+COUNTIF($B$13,"E")+COUNTIF($B$15,"E")+COUNTIF($B$18,"E")+COUNTIF($B$21,"E")</f>
        <v>0</v>
      </c>
      <c r="H5" s="4">
        <f>COUNTIF($B$9,"D")+COUNTIF($B$13,"D")+COUNTIF($B$15,"D")+COUNTIF($B$18,"D")+COUNTIF($B$21,"D")</f>
        <v>0</v>
      </c>
      <c r="I5" s="4">
        <f>SUM($D$9+$D$13+$D$15+$D$21+$D$18)</f>
        <v>0</v>
      </c>
      <c r="J5" s="4">
        <f>SUM($F$9+$F$13+$F$15+$F$18+$F$21)</f>
        <v>0</v>
      </c>
      <c r="K5" s="4">
        <f>I5-J5</f>
        <v>0</v>
      </c>
    </row>
    <row r="6" spans="1:12" x14ac:dyDescent="0.3">
      <c r="C6" s="4" t="s">
        <v>21</v>
      </c>
      <c r="D6" s="4">
        <f>F6*3+G6</f>
        <v>0</v>
      </c>
      <c r="E6" s="4">
        <f>SUM(F6:H6)</f>
        <v>0</v>
      </c>
      <c r="F6" s="4">
        <f>COUNTIF($J$9,"V")+COUNTIF($B$12,"V")+COUNTIF($B$16,"V")+COUNTIF($B$19,"V")+COUNTIF($B$22,"V")</f>
        <v>0</v>
      </c>
      <c r="G6" s="4">
        <f>COUNTIF($J$9,"E")+COUNTIF($B$12,"E")+COUNTIF($B$16,"E")+COUNTIF($B$19,"E")+COUNTIF($B$22,"E")</f>
        <v>0</v>
      </c>
      <c r="H6" s="4">
        <f>COUNTIF($B$12,"D")+COUNTIF($J$9,"D")+COUNTIF($B$16,"D")+COUNTIF($B$19,"D")+COUNTIF($B$22,"D")</f>
        <v>0</v>
      </c>
      <c r="I6" s="4">
        <f>SUM($F$9+$D$12+$D$16+$D$22+$D$19)</f>
        <v>0</v>
      </c>
      <c r="J6" s="4">
        <f>SUM($D$9+$F$12+$F$16+$F$22+$F$19)</f>
        <v>0</v>
      </c>
      <c r="K6" s="4">
        <f>I6-J6</f>
        <v>0</v>
      </c>
    </row>
    <row r="7" spans="1:12" x14ac:dyDescent="0.3">
      <c r="C7" s="4" t="s">
        <v>6</v>
      </c>
      <c r="D7" s="4">
        <f>F7*3+G7</f>
        <v>0</v>
      </c>
      <c r="E7" s="4">
        <f>SUM(F7:H7)</f>
        <v>0</v>
      </c>
      <c r="F7" s="4">
        <f>COUNTIF($J$11,"V")+COUNTIF($J$13,"V")+COUNTIF($J$16,"V")+COUNTIF($J$20,"V")+COUNTIF($J$24,"V")</f>
        <v>0</v>
      </c>
      <c r="G7" s="4">
        <f>COUNTIF($J$13,"E")+COUNTIF($J$16,"E")+COUNTIF($J$20,"E")+COUNTIF($J$24,"E")+COUNTIF($J$11,"E")</f>
        <v>0</v>
      </c>
      <c r="H7" s="4">
        <f>COUNTIF($J$11,"D")+COUNTIF($J$13,"D")+COUNTIF($J$16,"D")+COUNTIF($J$20,"D")+COUNTIF($J$24,"D")</f>
        <v>0</v>
      </c>
      <c r="I7" s="4">
        <f>SUM($F$11+$F$13+$F$16+$F$24+$F$20)</f>
        <v>0</v>
      </c>
      <c r="J7" s="4">
        <f>SUM($D$11+$D$13+$D$16+$D$24+$D$20)</f>
        <v>0</v>
      </c>
      <c r="K7" s="4">
        <f>I7-J7</f>
        <v>0</v>
      </c>
      <c r="L7">
        <f>K2:K7</f>
        <v>0</v>
      </c>
    </row>
    <row r="9" spans="1:12" x14ac:dyDescent="0.3">
      <c r="A9" s="12">
        <v>0.375</v>
      </c>
      <c r="B9" t="str">
        <f>IF(D9="","-",IF(D9=F9,"E",IF(D9&gt;F9,"V","D")))</f>
        <v>-</v>
      </c>
      <c r="C9" s="1" t="s">
        <v>0</v>
      </c>
      <c r="D9" s="2"/>
      <c r="E9" s="3" t="s">
        <v>1</v>
      </c>
      <c r="F9" s="2"/>
      <c r="G9" s="8" t="s">
        <v>2</v>
      </c>
      <c r="H9" s="9"/>
      <c r="I9" s="9"/>
      <c r="J9" t="str">
        <f>IF(F9="","-",IF(F9=D9,"E",IF(F9&gt;D9,"V","D")))</f>
        <v>-</v>
      </c>
    </row>
    <row r="10" spans="1:12" x14ac:dyDescent="0.3">
      <c r="A10" s="13">
        <v>0.42361111111111116</v>
      </c>
      <c r="B10" t="str">
        <f>IF(D10="","-",IF(D10=F10,"E",IF(D10&gt;F10,"V","D")))</f>
        <v>-</v>
      </c>
      <c r="C10" s="1" t="s">
        <v>3</v>
      </c>
      <c r="D10" s="2"/>
      <c r="E10" s="3" t="s">
        <v>1</v>
      </c>
      <c r="F10" s="2"/>
      <c r="G10" s="8" t="s">
        <v>4</v>
      </c>
      <c r="H10" s="9"/>
      <c r="I10" s="9"/>
      <c r="J10" t="str">
        <f t="shared" ref="J10:J24" si="0">IF(F10="","-",IF(F10=D10,"E",IF(F10&gt;D10,"V","D")))</f>
        <v>-</v>
      </c>
    </row>
    <row r="11" spans="1:12" x14ac:dyDescent="0.3">
      <c r="A11" s="13">
        <v>0.47222222222222232</v>
      </c>
      <c r="B11" t="str">
        <f t="shared" ref="B11:B24" si="1">IF(D11="","-",IF(D11=F11,"E",IF(D11&gt;F11,"V","D")))</f>
        <v>-</v>
      </c>
      <c r="C11" s="1" t="s">
        <v>5</v>
      </c>
      <c r="D11" s="2"/>
      <c r="E11" s="3" t="s">
        <v>1</v>
      </c>
      <c r="F11" s="2"/>
      <c r="G11" s="8" t="s">
        <v>6</v>
      </c>
      <c r="H11" s="9"/>
      <c r="I11" s="9"/>
      <c r="J11" t="str">
        <f t="shared" si="0"/>
        <v>-</v>
      </c>
    </row>
    <row r="12" spans="1:12" x14ac:dyDescent="0.3">
      <c r="A12" s="13">
        <v>0.52083333333333348</v>
      </c>
      <c r="B12" t="str">
        <f t="shared" si="1"/>
        <v>-</v>
      </c>
      <c r="C12" s="1" t="s">
        <v>2</v>
      </c>
      <c r="D12" s="2"/>
      <c r="E12" s="3" t="s">
        <v>1</v>
      </c>
      <c r="F12" s="2"/>
      <c r="G12" s="8" t="s">
        <v>3</v>
      </c>
      <c r="H12" s="9"/>
      <c r="I12" s="9"/>
      <c r="J12" t="str">
        <f t="shared" si="0"/>
        <v>-</v>
      </c>
    </row>
    <row r="13" spans="1:12" x14ac:dyDescent="0.3">
      <c r="A13" s="13">
        <v>0.60763888888888895</v>
      </c>
      <c r="B13" t="str">
        <f t="shared" si="1"/>
        <v>-</v>
      </c>
      <c r="C13" s="1" t="s">
        <v>0</v>
      </c>
      <c r="D13" s="2"/>
      <c r="E13" s="3" t="s">
        <v>1</v>
      </c>
      <c r="F13" s="2"/>
      <c r="G13" s="8" t="s">
        <v>6</v>
      </c>
      <c r="H13" s="9"/>
      <c r="I13" s="9"/>
      <c r="J13" t="str">
        <f t="shared" si="0"/>
        <v>-</v>
      </c>
    </row>
    <row r="14" spans="1:12" x14ac:dyDescent="0.3">
      <c r="A14" s="13">
        <v>0.65625000000000011</v>
      </c>
      <c r="B14" t="str">
        <f t="shared" si="1"/>
        <v>-</v>
      </c>
      <c r="C14" s="1" t="s">
        <v>4</v>
      </c>
      <c r="D14" s="2"/>
      <c r="E14" s="3" t="s">
        <v>1</v>
      </c>
      <c r="F14" s="2"/>
      <c r="G14" s="8" t="s">
        <v>5</v>
      </c>
      <c r="H14" s="9"/>
      <c r="I14" s="9"/>
      <c r="J14" t="str">
        <f t="shared" si="0"/>
        <v>-</v>
      </c>
    </row>
    <row r="15" spans="1:12" x14ac:dyDescent="0.3">
      <c r="A15" s="13">
        <v>0.70486111111111127</v>
      </c>
      <c r="B15" t="str">
        <f t="shared" si="1"/>
        <v>-</v>
      </c>
      <c r="C15" s="1" t="s">
        <v>0</v>
      </c>
      <c r="D15" s="2"/>
      <c r="E15" s="3" t="s">
        <v>1</v>
      </c>
      <c r="F15" s="2"/>
      <c r="G15" s="8" t="s">
        <v>3</v>
      </c>
      <c r="H15" s="9"/>
      <c r="I15" s="9"/>
      <c r="J15" t="str">
        <f t="shared" si="0"/>
        <v>-</v>
      </c>
    </row>
    <row r="16" spans="1:12" x14ac:dyDescent="0.3">
      <c r="A16" s="13">
        <v>0.75347222222222243</v>
      </c>
      <c r="B16" t="str">
        <f t="shared" si="1"/>
        <v>-</v>
      </c>
      <c r="C16" s="1" t="s">
        <v>2</v>
      </c>
      <c r="D16" s="2"/>
      <c r="E16" s="3" t="s">
        <v>1</v>
      </c>
      <c r="F16" s="2"/>
      <c r="G16" s="8" t="s">
        <v>6</v>
      </c>
      <c r="H16" s="9"/>
      <c r="I16" s="9"/>
      <c r="J16" t="str">
        <f t="shared" si="0"/>
        <v>-</v>
      </c>
    </row>
    <row r="17" spans="1:10" x14ac:dyDescent="0.3">
      <c r="G17" s="10"/>
      <c r="H17" s="10"/>
      <c r="I17" s="10"/>
    </row>
    <row r="18" spans="1:10" x14ac:dyDescent="0.3">
      <c r="A18" s="13">
        <v>0.39930555555555558</v>
      </c>
      <c r="B18" t="str">
        <f t="shared" si="1"/>
        <v>-</v>
      </c>
      <c r="C18" s="1" t="s">
        <v>0</v>
      </c>
      <c r="D18" s="2"/>
      <c r="E18" s="3" t="s">
        <v>1</v>
      </c>
      <c r="F18" s="2"/>
      <c r="G18" s="8" t="s">
        <v>4</v>
      </c>
      <c r="H18" s="9"/>
      <c r="I18" s="9"/>
      <c r="J18" t="str">
        <f t="shared" si="0"/>
        <v>-</v>
      </c>
    </row>
    <row r="19" spans="1:10" x14ac:dyDescent="0.3">
      <c r="A19" s="13">
        <v>0.44791666666666674</v>
      </c>
      <c r="B19" t="str">
        <f t="shared" si="1"/>
        <v>-</v>
      </c>
      <c r="C19" s="1" t="s">
        <v>2</v>
      </c>
      <c r="D19" s="2"/>
      <c r="E19" s="3" t="s">
        <v>1</v>
      </c>
      <c r="F19" s="2"/>
      <c r="G19" s="8" t="s">
        <v>5</v>
      </c>
      <c r="H19" s="9"/>
      <c r="I19" s="9"/>
      <c r="J19" t="str">
        <f t="shared" si="0"/>
        <v>-</v>
      </c>
    </row>
    <row r="20" spans="1:10" x14ac:dyDescent="0.3">
      <c r="A20" s="13">
        <v>0.4965277777777779</v>
      </c>
      <c r="B20" t="str">
        <f t="shared" si="1"/>
        <v>-</v>
      </c>
      <c r="C20" s="1" t="s">
        <v>3</v>
      </c>
      <c r="D20" s="2"/>
      <c r="E20" s="3" t="s">
        <v>1</v>
      </c>
      <c r="F20" s="2"/>
      <c r="G20" s="8" t="s">
        <v>6</v>
      </c>
      <c r="H20" s="9"/>
      <c r="I20" s="9"/>
      <c r="J20" t="str">
        <f t="shared" si="0"/>
        <v>-</v>
      </c>
    </row>
    <row r="21" spans="1:10" x14ac:dyDescent="0.3">
      <c r="A21" s="13">
        <v>0.58680555555555558</v>
      </c>
      <c r="B21" t="str">
        <f t="shared" si="1"/>
        <v>-</v>
      </c>
      <c r="C21" s="1" t="s">
        <v>0</v>
      </c>
      <c r="D21" s="2"/>
      <c r="E21" s="3" t="s">
        <v>1</v>
      </c>
      <c r="F21" s="2"/>
      <c r="G21" s="8" t="s">
        <v>5</v>
      </c>
      <c r="H21" s="9"/>
      <c r="I21" s="9"/>
      <c r="J21" t="str">
        <f t="shared" si="0"/>
        <v>-</v>
      </c>
    </row>
    <row r="22" spans="1:10" x14ac:dyDescent="0.3">
      <c r="A22" s="13">
        <v>0.63541666666666674</v>
      </c>
      <c r="B22" t="str">
        <f t="shared" si="1"/>
        <v>-</v>
      </c>
      <c r="C22" s="1" t="s">
        <v>2</v>
      </c>
      <c r="D22" s="2"/>
      <c r="E22" s="3" t="s">
        <v>1</v>
      </c>
      <c r="F22" s="2"/>
      <c r="G22" s="8" t="s">
        <v>4</v>
      </c>
      <c r="H22" s="9"/>
      <c r="I22" s="9"/>
      <c r="J22" t="str">
        <f t="shared" si="0"/>
        <v>-</v>
      </c>
    </row>
    <row r="23" spans="1:10" x14ac:dyDescent="0.3">
      <c r="A23" s="13">
        <v>0.6840277777777779</v>
      </c>
      <c r="B23" t="str">
        <f t="shared" si="1"/>
        <v>-</v>
      </c>
      <c r="C23" s="1" t="s">
        <v>3</v>
      </c>
      <c r="D23" s="2"/>
      <c r="E23" s="3" t="s">
        <v>1</v>
      </c>
      <c r="F23" s="2"/>
      <c r="G23" s="8" t="s">
        <v>5</v>
      </c>
      <c r="H23" s="9"/>
      <c r="I23" s="9"/>
      <c r="J23" t="str">
        <f t="shared" si="0"/>
        <v>-</v>
      </c>
    </row>
    <row r="24" spans="1:10" x14ac:dyDescent="0.3">
      <c r="A24" s="13">
        <v>0.73263888888888906</v>
      </c>
      <c r="B24" t="str">
        <f t="shared" si="1"/>
        <v>-</v>
      </c>
      <c r="C24" s="1" t="s">
        <v>4</v>
      </c>
      <c r="D24" s="2"/>
      <c r="E24" s="3" t="s">
        <v>1</v>
      </c>
      <c r="F24" s="2"/>
      <c r="G24" s="8" t="s">
        <v>6</v>
      </c>
      <c r="H24" s="9"/>
      <c r="I24" s="9"/>
      <c r="J24" t="str">
        <f t="shared" si="0"/>
        <v>-</v>
      </c>
    </row>
  </sheetData>
  <autoFilter ref="C1:K1">
    <sortState ref="C2:K7">
      <sortCondition descending="1" ref="I1"/>
    </sortState>
  </autoFilter>
  <sortState ref="C2:K7">
    <sortCondition descending="1" ref="D2:D7"/>
    <sortCondition descending="1" ref="K2:K7"/>
    <sortCondition ref="C2:C7"/>
  </sortState>
  <mergeCells count="16">
    <mergeCell ref="G19:I19"/>
    <mergeCell ref="G24:I24"/>
    <mergeCell ref="G23:I23"/>
    <mergeCell ref="G22:I22"/>
    <mergeCell ref="G21:I21"/>
    <mergeCell ref="G20:I20"/>
    <mergeCell ref="G11:I11"/>
    <mergeCell ref="G10:I10"/>
    <mergeCell ref="G9:I9"/>
    <mergeCell ref="G17:I17"/>
    <mergeCell ref="G18:I18"/>
    <mergeCell ref="G16:I16"/>
    <mergeCell ref="G15:I15"/>
    <mergeCell ref="G14:I14"/>
    <mergeCell ref="G13:I13"/>
    <mergeCell ref="G12:I1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U15</vt:lpstr>
      <vt:lpstr>U17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Lopes, Vitor (Viana)</dc:creator>
  <cp:lastModifiedBy>João Mendes</cp:lastModifiedBy>
  <dcterms:created xsi:type="dcterms:W3CDTF">2023-06-23T07:57:34Z</dcterms:created>
  <dcterms:modified xsi:type="dcterms:W3CDTF">2023-06-24T00:08:45Z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d6fde4cb-24c8-45fc-8eda-ec3e49fee87c</vt:lpwstr>
  </property>
</Properties>
</file>