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18408" windowHeight="8052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7" l="1"/>
  <c r="J3" i="7"/>
  <c r="J6" i="7"/>
  <c r="J6" i="4"/>
  <c r="I6" i="4"/>
  <c r="J5" i="4"/>
  <c r="J3" i="4"/>
  <c r="J4" i="4"/>
  <c r="I4" i="4"/>
  <c r="I3" i="4"/>
  <c r="I5" i="4"/>
  <c r="I3" i="2"/>
  <c r="J5" i="3"/>
  <c r="J4" i="3"/>
  <c r="I3" i="3"/>
  <c r="J3" i="3"/>
  <c r="I5" i="3"/>
  <c r="I4" i="3"/>
  <c r="J6" i="3"/>
  <c r="I6" i="3"/>
  <c r="J6" i="2"/>
  <c r="J5" i="2"/>
  <c r="J4" i="2"/>
  <c r="I4" i="2"/>
  <c r="J3" i="2"/>
  <c r="I6" i="2"/>
  <c r="I5" i="2"/>
  <c r="J4" i="7"/>
  <c r="J5" i="7"/>
  <c r="I4" i="7"/>
  <c r="K4" i="7" s="1"/>
  <c r="I5" i="7"/>
  <c r="I6" i="7"/>
  <c r="J39" i="7"/>
  <c r="B39" i="7"/>
  <c r="J38" i="7"/>
  <c r="B38" i="7"/>
  <c r="J37" i="7"/>
  <c r="B37" i="7"/>
  <c r="J36" i="7"/>
  <c r="B36" i="7"/>
  <c r="J35" i="7"/>
  <c r="B35" i="7"/>
  <c r="J34" i="7"/>
  <c r="G5" i="7" s="1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J27" i="7"/>
  <c r="B27" i="7"/>
  <c r="J26" i="7"/>
  <c r="B26" i="7"/>
  <c r="H3" i="7" s="1"/>
  <c r="J25" i="7"/>
  <c r="B25" i="7"/>
  <c r="J24" i="7"/>
  <c r="B24" i="7"/>
  <c r="J23" i="7"/>
  <c r="B23" i="7"/>
  <c r="J22" i="7"/>
  <c r="B22" i="7"/>
  <c r="J21" i="7"/>
  <c r="B21" i="7"/>
  <c r="J20" i="7"/>
  <c r="B20" i="7"/>
  <c r="J19" i="7"/>
  <c r="B19" i="7"/>
  <c r="J18" i="7"/>
  <c r="B18" i="7"/>
  <c r="F4" i="7" s="1"/>
  <c r="J17" i="7"/>
  <c r="B17" i="7"/>
  <c r="J16" i="7"/>
  <c r="B16" i="7"/>
  <c r="J15" i="7"/>
  <c r="B15" i="7"/>
  <c r="J14" i="7"/>
  <c r="B14" i="7"/>
  <c r="F6" i="7" s="1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H6" i="4" s="1"/>
  <c r="J18" i="4"/>
  <c r="B18" i="4"/>
  <c r="J17" i="4"/>
  <c r="B17" i="4"/>
  <c r="J16" i="4"/>
  <c r="B16" i="4"/>
  <c r="J15" i="4"/>
  <c r="B15" i="4"/>
  <c r="H3" i="4" s="1"/>
  <c r="J14" i="4"/>
  <c r="B14" i="4"/>
  <c r="J13" i="4"/>
  <c r="B13" i="4"/>
  <c r="J12" i="4"/>
  <c r="B12" i="4"/>
  <c r="J11" i="4"/>
  <c r="B11" i="4"/>
  <c r="J10" i="4"/>
  <c r="B10" i="4"/>
  <c r="G4" i="4" s="1"/>
  <c r="J9" i="4"/>
  <c r="B9" i="4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H5" i="3" s="1"/>
  <c r="J26" i="3"/>
  <c r="B26" i="3"/>
  <c r="J25" i="3"/>
  <c r="B25" i="3"/>
  <c r="H3" i="3" s="1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H4" i="3" s="1"/>
  <c r="J17" i="3"/>
  <c r="B17" i="3"/>
  <c r="J16" i="3"/>
  <c r="B16" i="3"/>
  <c r="J15" i="3"/>
  <c r="B15" i="3"/>
  <c r="J14" i="3"/>
  <c r="B14" i="3"/>
  <c r="G6" i="3" s="1"/>
  <c r="J13" i="3"/>
  <c r="B13" i="3"/>
  <c r="J12" i="3"/>
  <c r="B12" i="3"/>
  <c r="J11" i="3"/>
  <c r="B11" i="3"/>
  <c r="J10" i="3"/>
  <c r="B10" i="3"/>
  <c r="J9" i="3"/>
  <c r="B9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F5" i="2" s="1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G5" i="2" s="1"/>
  <c r="J16" i="2"/>
  <c r="B16" i="2"/>
  <c r="J15" i="2"/>
  <c r="B15" i="2"/>
  <c r="J14" i="2"/>
  <c r="B14" i="2"/>
  <c r="J13" i="2"/>
  <c r="B13" i="2"/>
  <c r="H3" i="2" s="1"/>
  <c r="J12" i="2"/>
  <c r="B12" i="2"/>
  <c r="J11" i="2"/>
  <c r="B11" i="2"/>
  <c r="J10" i="2"/>
  <c r="B10" i="2"/>
  <c r="J9" i="2"/>
  <c r="B9" i="2"/>
  <c r="F4" i="2" s="1"/>
  <c r="H3" i="5"/>
  <c r="B3" i="5"/>
  <c r="G5" i="4" l="1"/>
  <c r="H5" i="4"/>
  <c r="G6" i="4"/>
  <c r="G4" i="3"/>
  <c r="F5" i="7"/>
  <c r="D5" i="7" s="1"/>
  <c r="K3" i="7"/>
  <c r="K5" i="7"/>
  <c r="G4" i="7"/>
  <c r="H4" i="7"/>
  <c r="G6" i="7"/>
  <c r="D6" i="7" s="1"/>
  <c r="H6" i="7"/>
  <c r="F3" i="4"/>
  <c r="H4" i="4"/>
  <c r="H6" i="3"/>
  <c r="G5" i="3"/>
  <c r="H5" i="7"/>
  <c r="F3" i="7"/>
  <c r="G3" i="7"/>
  <c r="F4" i="4"/>
  <c r="D4" i="4" s="1"/>
  <c r="G3" i="4"/>
  <c r="F5" i="4"/>
  <c r="K3" i="4"/>
  <c r="F6" i="4"/>
  <c r="F5" i="3"/>
  <c r="F3" i="3"/>
  <c r="D3" i="3" s="1"/>
  <c r="F4" i="3"/>
  <c r="G3" i="3"/>
  <c r="F6" i="3"/>
  <c r="G4" i="2"/>
  <c r="H4" i="2"/>
  <c r="G6" i="2"/>
  <c r="H5" i="2"/>
  <c r="F3" i="2"/>
  <c r="G3" i="2"/>
  <c r="H6" i="2"/>
  <c r="F6" i="2"/>
  <c r="K6" i="7"/>
  <c r="K5" i="4"/>
  <c r="K4" i="4"/>
  <c r="K6" i="4"/>
  <c r="K6" i="3"/>
  <c r="K5" i="3"/>
  <c r="K4" i="3"/>
  <c r="K3" i="3"/>
  <c r="E6" i="4" l="1"/>
  <c r="E5" i="7"/>
  <c r="D5" i="4"/>
  <c r="E4" i="3"/>
  <c r="E3" i="7"/>
  <c r="E4" i="7"/>
  <c r="E6" i="7"/>
  <c r="E3" i="4"/>
  <c r="D5" i="3"/>
  <c r="D4" i="7"/>
  <c r="E4" i="4"/>
  <c r="E5" i="4"/>
  <c r="D3" i="4"/>
  <c r="D4" i="3"/>
  <c r="E3" i="3"/>
  <c r="E6" i="3"/>
  <c r="D3" i="7"/>
  <c r="D6" i="4"/>
  <c r="D6" i="3"/>
  <c r="E5" i="3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3" i="2" l="1"/>
  <c r="E6" i="2"/>
  <c r="K6" i="2" l="1"/>
  <c r="K5" i="2"/>
  <c r="D4" i="2" l="1"/>
  <c r="E4" i="2"/>
  <c r="D3" i="2"/>
  <c r="D6" i="2"/>
  <c r="D5" i="2"/>
  <c r="E5" i="2"/>
  <c r="K3" i="2" l="1"/>
  <c r="K4" i="2"/>
</calcChain>
</file>

<file path=xl/sharedStrings.xml><?xml version="1.0" encoding="utf-8"?>
<sst xmlns="http://schemas.openxmlformats.org/spreadsheetml/2006/main" count="441" uniqueCount="35">
  <si>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</si>
  <si>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</si>
  <si>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</si>
  <si>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</si>
  <si>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</si>
  <si>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</si>
  <si>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</si>
  <si>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</si>
  <si>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</si>
  <si>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</si>
  <si>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</si>
  <si>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</si>
  <si>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</si>
  <si>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Grupo 2</t>
  </si>
  <si>
    <t>Grupo Desportivo de Porto D`Ave</t>
  </si>
  <si>
    <t>Ancora Praia Fc</t>
  </si>
  <si>
    <t>Grupo 3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</si>
  <si>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</si>
  <si>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</si>
  <si>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</si>
  <si>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</si>
  <si>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</si>
  <si>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</si>
  <si>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</si>
  <si>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</si>
  <si>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</si>
  <si>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</si>
  <si>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</si>
  <si>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</si>
  <si>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</si>
  <si>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Botão 2</t>
  </si>
  <si>
    <t>CC Os Torreenses</t>
  </si>
  <si>
    <t>GD de Porto D`Ave</t>
  </si>
  <si>
    <t>Acad. Sporting de Barcelos</t>
  </si>
  <si>
    <t>UD São Verissimo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</si>
</sst>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3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</cellXfs>
  <cellStyles count="2">
    <cellStyle name="Calculation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10</xdr:row>
          <xdr:rowOff>22860</xdr:rowOff>
        </xdr:from>
        <xdr:to>
          <xdr:col>11</xdr:col>
          <xdr:colOff>60960</xdr:colOff>
          <xdr:row>15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2</xdr:row>
          <xdr:rowOff>121920</xdr:rowOff>
        </xdr:from>
        <xdr:to>
          <xdr:col>11</xdr:col>
          <xdr:colOff>182880</xdr:colOff>
          <xdr:row>8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6" totalsRowShown="0" headerRowDxfId="43" dataDxfId="42">
  <autoFilter ref="C2:K6"/>
  <sortState ref="C3:K6">
    <sortCondition descending="1" ref="D2:D6"/>
  </sortState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>
      <calculatedColumnFormula>$D$13+$F$9+$F$17</calculatedColumnFormula>
    </tableColumn>
    <tableColumn id="8" name="GS" dataDxfId="34">
      <calculatedColumnFormula>$D$9+$F$13+$D$17</calculatedColumnFormula>
    </tableColumn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6" totalsRowShown="0" headerRowDxfId="32" dataDxfId="31">
  <autoFilter ref="C2:K6"/>
  <sortState ref="C3:K6">
    <sortCondition descending="1" ref="D2:D6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>
      <calculatedColumnFormula>$D$14+$F$25+$F$18</calculatedColumnFormula>
    </tableColumn>
    <tableColumn id="8" name="GS" dataDxfId="23">
      <calculatedColumnFormula>$D$25+$D$18+$F$14</calculatedColumnFormula>
    </tableColumn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6" totalsRowShown="0" headerRowDxfId="21" dataDxfId="20">
  <autoFilter ref="C2:K6"/>
  <sortState ref="C3:K6">
    <sortCondition descending="1" ref="D2:D6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>
      <calculatedColumnFormula>$D$10+$D$35+$F$31</calculatedColumnFormula>
    </tableColumn>
    <tableColumn id="8" name="GS" dataDxfId="12">
      <calculatedColumnFormula>$F$31+$F$19+$D$12</calculatedColumnFormula>
    </tableColumn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" name="Tabela2562" displayName="Tabela2562" ref="C2:K6" totalsRowShown="0" headerRowDxfId="10" dataDxfId="9">
  <autoFilter ref="C2:K6"/>
  <sortState ref="C3:K6">
    <sortCondition descending="1" ref="D2:D6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>
      <calculatedColumnFormula>$D$26+$F$32+$D$36</calculatedColumnFormula>
    </tableColumn>
    <tableColumn id="8" name="GS" dataDxfId="1">
      <calculatedColumnFormula>$F$36+$D$32+$F$26</calculatedColumnFormula>
    </tableColumn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M33"/>
  <sheetViews>
    <sheetView tabSelected="1" workbookViewId="0">
      <selection activeCell="F5" sqref="F5"/>
    </sheetView>
  </sheetViews>
  <sheetFormatPr defaultRowHeight="14.4" x14ac:dyDescent="0.3"/>
  <cols>
    <col min="3" max="3" width="23.6640625" style="4" bestFit="1" customWidth="1"/>
    <col min="7" max="7" width="23.6640625" style="4" bestFit="1" customWidth="1"/>
  </cols>
  <sheetData>
    <row r="3" spans="1:13" x14ac:dyDescent="0.3">
      <c r="A3" s="5">
        <v>0.375</v>
      </c>
      <c r="B3" t="str">
        <f>IF(D3="","-",IF(D3=F3,"E",IF(D3&gt;F3,"V","D")))</f>
        <v>-</v>
      </c>
      <c r="C3" s="8" t="s">
        <v>31</v>
      </c>
      <c r="D3" s="9"/>
      <c r="E3" s="10" t="s">
        <v>2</v>
      </c>
      <c r="F3" s="9"/>
      <c r="G3" s="15" t="s">
        <v>0</v>
      </c>
      <c r="H3" t="str">
        <f>IF(F3="","-",IF(F3=D3,"E",IF(F3&gt;D3,"V","D")))</f>
        <v>-</v>
      </c>
    </row>
    <row r="4" spans="1:13" x14ac:dyDescent="0.3">
      <c r="A4" s="5">
        <v>0.3923611111111111</v>
      </c>
      <c r="B4" t="str">
        <f t="shared" ref="B4:B33" si="0">IF(D4="","-",IF(D4=F4,"E",IF(D4&gt;F4,"V","D")))</f>
        <v>-</v>
      </c>
      <c r="C4" s="8" t="s">
        <v>18</v>
      </c>
      <c r="D4" s="9"/>
      <c r="E4" s="10" t="s">
        <v>2</v>
      </c>
      <c r="F4" s="9"/>
      <c r="G4" s="15" t="s">
        <v>19</v>
      </c>
      <c r="H4" t="str">
        <f t="shared" ref="H4:H33" si="1">IF(F4="","-",IF(F4=D4,"E",IF(F4&gt;D4,"V","D")))</f>
        <v>-</v>
      </c>
    </row>
    <row r="5" spans="1:13" x14ac:dyDescent="0.3">
      <c r="A5" s="5">
        <v>0.40972222222222221</v>
      </c>
      <c r="B5" t="str">
        <f t="shared" si="0"/>
        <v>-</v>
      </c>
      <c r="C5" s="12" t="s">
        <v>1</v>
      </c>
      <c r="D5" s="9"/>
      <c r="E5" s="10" t="s">
        <v>2</v>
      </c>
      <c r="F5" s="9"/>
      <c r="G5" s="16" t="s">
        <v>20</v>
      </c>
      <c r="H5" t="str">
        <f t="shared" si="1"/>
        <v>-</v>
      </c>
    </row>
    <row r="6" spans="1:13" x14ac:dyDescent="0.3">
      <c r="A6" s="5">
        <v>0.42708333333333331</v>
      </c>
      <c r="B6" t="str">
        <f t="shared" si="0"/>
        <v>-</v>
      </c>
      <c r="C6" s="12" t="s">
        <v>32</v>
      </c>
      <c r="D6" s="9"/>
      <c r="E6" s="10" t="s">
        <v>2</v>
      </c>
      <c r="F6" s="9"/>
      <c r="G6" s="16" t="s">
        <v>21</v>
      </c>
      <c r="H6" t="str">
        <f t="shared" si="1"/>
        <v>-</v>
      </c>
      <c r="K6" s="20" t="s">
        <v>30</v>
      </c>
    </row>
    <row r="7" spans="1:13" x14ac:dyDescent="0.3">
      <c r="A7" s="5">
        <v>0.58333333333333337</v>
      </c>
      <c r="B7" t="str">
        <f t="shared" si="0"/>
        <v>-</v>
      </c>
      <c r="C7" s="11" t="s">
        <v>0</v>
      </c>
      <c r="D7" s="9"/>
      <c r="E7" s="10" t="s">
        <v>2</v>
      </c>
      <c r="F7" s="9"/>
      <c r="G7" s="17" t="s">
        <v>1</v>
      </c>
      <c r="H7" t="str">
        <f t="shared" si="1"/>
        <v>-</v>
      </c>
    </row>
    <row r="8" spans="1:13" x14ac:dyDescent="0.3">
      <c r="A8" s="5">
        <v>0.60069444444444453</v>
      </c>
      <c r="B8" t="str">
        <f t="shared" si="0"/>
        <v>-</v>
      </c>
      <c r="C8" s="11" t="s">
        <v>28</v>
      </c>
      <c r="D8" s="9"/>
      <c r="E8" s="10" t="s">
        <v>2</v>
      </c>
      <c r="F8" s="9"/>
      <c r="G8" s="17" t="s">
        <v>33</v>
      </c>
      <c r="H8" t="str">
        <f t="shared" si="1"/>
        <v>-</v>
      </c>
    </row>
    <row r="9" spans="1:13" x14ac:dyDescent="0.3">
      <c r="A9" s="5">
        <v>0.61805555555555569</v>
      </c>
      <c r="B9" t="str">
        <f t="shared" si="0"/>
        <v>-</v>
      </c>
      <c r="C9" s="11" t="s">
        <v>19</v>
      </c>
      <c r="D9" s="9"/>
      <c r="E9" s="10" t="s">
        <v>2</v>
      </c>
      <c r="F9" s="9"/>
      <c r="G9" s="17" t="s">
        <v>32</v>
      </c>
      <c r="H9" t="str">
        <f t="shared" si="1"/>
        <v>-</v>
      </c>
    </row>
    <row r="10" spans="1:13" x14ac:dyDescent="0.3">
      <c r="A10" s="5">
        <v>0.63541666666666685</v>
      </c>
      <c r="B10" t="str">
        <f t="shared" si="0"/>
        <v>-</v>
      </c>
      <c r="C10" s="11" t="s">
        <v>15</v>
      </c>
      <c r="D10" s="9"/>
      <c r="E10" s="10" t="s">
        <v>2</v>
      </c>
      <c r="F10" s="9"/>
      <c r="G10" s="17" t="s">
        <v>23</v>
      </c>
      <c r="H10" t="str">
        <f t="shared" si="1"/>
        <v>-</v>
      </c>
    </row>
    <row r="11" spans="1:13" x14ac:dyDescent="0.3">
      <c r="A11" s="5">
        <v>0.70486111111111149</v>
      </c>
      <c r="B11" t="str">
        <f t="shared" si="0"/>
        <v>-</v>
      </c>
      <c r="C11" s="13" t="s">
        <v>20</v>
      </c>
      <c r="D11" s="9"/>
      <c r="E11" s="10" t="s">
        <v>2</v>
      </c>
      <c r="F11" s="9"/>
      <c r="G11" s="15" t="s">
        <v>24</v>
      </c>
      <c r="H11" t="str">
        <f t="shared" si="1"/>
        <v>-</v>
      </c>
    </row>
    <row r="12" spans="1:13" x14ac:dyDescent="0.3">
      <c r="A12" s="5">
        <v>0.72222222222222265</v>
      </c>
      <c r="B12" t="str">
        <f t="shared" si="0"/>
        <v>-</v>
      </c>
      <c r="C12" s="13" t="s">
        <v>29</v>
      </c>
      <c r="D12" s="9"/>
      <c r="E12" s="10" t="s">
        <v>2</v>
      </c>
      <c r="F12" s="9"/>
      <c r="G12" s="15" t="s">
        <v>28</v>
      </c>
      <c r="H12" t="str">
        <f t="shared" si="1"/>
        <v>-</v>
      </c>
    </row>
    <row r="13" spans="1:13" x14ac:dyDescent="0.3">
      <c r="A13" s="5">
        <v>0.73958333333333381</v>
      </c>
      <c r="B13" t="str">
        <f t="shared" si="0"/>
        <v>-</v>
      </c>
      <c r="C13" s="13" t="s">
        <v>21</v>
      </c>
      <c r="D13" s="9"/>
      <c r="E13" s="10" t="s">
        <v>2</v>
      </c>
      <c r="F13" s="9"/>
      <c r="G13" s="15" t="s">
        <v>19</v>
      </c>
      <c r="H13" t="str">
        <f t="shared" si="1"/>
        <v>-</v>
      </c>
      <c r="M13" s="20"/>
    </row>
    <row r="14" spans="1:13" x14ac:dyDescent="0.3">
      <c r="A14" s="5">
        <v>0.75694444444444497</v>
      </c>
      <c r="B14" t="str">
        <f t="shared" si="0"/>
        <v>-</v>
      </c>
      <c r="C14" s="13" t="s">
        <v>34</v>
      </c>
      <c r="D14" s="9"/>
      <c r="E14" s="10" t="s">
        <v>2</v>
      </c>
      <c r="F14" s="9"/>
      <c r="G14" s="15" t="s">
        <v>15</v>
      </c>
      <c r="H14" t="str">
        <f t="shared" si="1"/>
        <v>-</v>
      </c>
    </row>
    <row r="15" spans="1:13" x14ac:dyDescent="0.3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3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3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3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3">
      <c r="A19" s="5">
        <v>0.375</v>
      </c>
      <c r="B19" t="str">
        <f t="shared" si="0"/>
        <v>-</v>
      </c>
      <c r="C19" s="8" t="s">
        <v>26</v>
      </c>
      <c r="D19" s="9"/>
      <c r="E19" s="10" t="s">
        <v>2</v>
      </c>
      <c r="F19" s="9"/>
      <c r="G19" s="15" t="s">
        <v>28</v>
      </c>
      <c r="H19" t="str">
        <f t="shared" si="1"/>
        <v>-</v>
      </c>
    </row>
    <row r="20" spans="1:13" x14ac:dyDescent="0.3">
      <c r="A20" s="5">
        <v>0.3923611111111111</v>
      </c>
      <c r="B20" t="str">
        <f t="shared" si="0"/>
        <v>-</v>
      </c>
      <c r="C20" s="8" t="s">
        <v>27</v>
      </c>
      <c r="D20" s="9"/>
      <c r="E20" s="10" t="s">
        <v>2</v>
      </c>
      <c r="F20" s="9"/>
      <c r="G20" s="15" t="s">
        <v>15</v>
      </c>
      <c r="H20" t="str">
        <f t="shared" si="1"/>
        <v>-</v>
      </c>
    </row>
    <row r="21" spans="1:13" x14ac:dyDescent="0.3">
      <c r="A21" s="5">
        <v>0.40972222222222221</v>
      </c>
      <c r="B21" t="str">
        <f t="shared" si="0"/>
        <v>-</v>
      </c>
      <c r="C21" s="12" t="s">
        <v>33</v>
      </c>
      <c r="D21" s="9"/>
      <c r="E21" s="10" t="s">
        <v>2</v>
      </c>
      <c r="F21" s="9"/>
      <c r="G21" s="16" t="s">
        <v>29</v>
      </c>
      <c r="H21" t="str">
        <f t="shared" si="1"/>
        <v>-</v>
      </c>
    </row>
    <row r="22" spans="1:13" x14ac:dyDescent="0.3">
      <c r="A22" s="5">
        <v>0.42708333333333331</v>
      </c>
      <c r="B22" t="str">
        <f t="shared" si="0"/>
        <v>-</v>
      </c>
      <c r="C22" s="12" t="s">
        <v>23</v>
      </c>
      <c r="D22" s="9"/>
      <c r="E22" s="10" t="s">
        <v>2</v>
      </c>
      <c r="F22" s="9"/>
      <c r="G22" s="16" t="s">
        <v>34</v>
      </c>
      <c r="H22" t="str">
        <f t="shared" si="1"/>
        <v>-</v>
      </c>
    </row>
    <row r="23" spans="1:13" x14ac:dyDescent="0.3">
      <c r="A23" s="5">
        <v>0.58333333333333337</v>
      </c>
      <c r="B23" t="str">
        <f t="shared" si="0"/>
        <v>-</v>
      </c>
      <c r="C23" s="13" t="s">
        <v>20</v>
      </c>
      <c r="D23" s="9"/>
      <c r="E23" s="10" t="s">
        <v>2</v>
      </c>
      <c r="F23" s="9"/>
      <c r="G23" s="18" t="s">
        <v>31</v>
      </c>
      <c r="H23" t="str">
        <f t="shared" si="1"/>
        <v>-</v>
      </c>
    </row>
    <row r="24" spans="1:13" x14ac:dyDescent="0.3">
      <c r="A24" s="5">
        <v>0.60069444444444453</v>
      </c>
      <c r="B24" t="str">
        <f t="shared" si="0"/>
        <v>-</v>
      </c>
      <c r="C24" s="13" t="s">
        <v>29</v>
      </c>
      <c r="D24" s="9"/>
      <c r="E24" s="10" t="s">
        <v>2</v>
      </c>
      <c r="F24" s="9"/>
      <c r="G24" s="18" t="s">
        <v>26</v>
      </c>
      <c r="H24" t="str">
        <f t="shared" si="1"/>
        <v>-</v>
      </c>
    </row>
    <row r="25" spans="1:13" x14ac:dyDescent="0.3">
      <c r="A25" s="5">
        <v>0.61805555555555569</v>
      </c>
      <c r="B25" t="str">
        <f t="shared" si="0"/>
        <v>-</v>
      </c>
      <c r="C25" s="13" t="s">
        <v>21</v>
      </c>
      <c r="D25" s="9"/>
      <c r="E25" s="10" t="s">
        <v>2</v>
      </c>
      <c r="F25" s="9"/>
      <c r="G25" s="18" t="s">
        <v>18</v>
      </c>
      <c r="H25" t="str">
        <f t="shared" si="1"/>
        <v>-</v>
      </c>
    </row>
    <row r="26" spans="1:13" x14ac:dyDescent="0.3">
      <c r="A26" s="5">
        <v>0.63541666666666685</v>
      </c>
      <c r="B26" t="str">
        <f t="shared" si="0"/>
        <v>-</v>
      </c>
      <c r="C26" s="13" t="s">
        <v>34</v>
      </c>
      <c r="D26" s="9"/>
      <c r="E26" s="10" t="s">
        <v>2</v>
      </c>
      <c r="F26" s="9"/>
      <c r="G26" s="18" t="s">
        <v>27</v>
      </c>
      <c r="H26" t="str">
        <f t="shared" si="1"/>
        <v>-</v>
      </c>
    </row>
    <row r="27" spans="1:13" x14ac:dyDescent="0.3">
      <c r="A27" s="5">
        <v>0.70486111111111149</v>
      </c>
      <c r="B27" t="str">
        <f t="shared" si="0"/>
        <v>-</v>
      </c>
      <c r="C27" s="8" t="s">
        <v>31</v>
      </c>
      <c r="D27" s="9"/>
      <c r="E27" s="10" t="s">
        <v>2</v>
      </c>
      <c r="F27" s="9"/>
      <c r="G27" s="17" t="s">
        <v>1</v>
      </c>
      <c r="H27" t="str">
        <f t="shared" si="1"/>
        <v>-</v>
      </c>
    </row>
    <row r="28" spans="1:13" x14ac:dyDescent="0.3">
      <c r="A28" s="5">
        <v>0.72222222222222265</v>
      </c>
      <c r="B28" t="str">
        <f t="shared" si="0"/>
        <v>-</v>
      </c>
      <c r="C28" s="8" t="s">
        <v>26</v>
      </c>
      <c r="D28" s="9"/>
      <c r="E28" s="10" t="s">
        <v>2</v>
      </c>
      <c r="F28" s="9"/>
      <c r="G28" s="17" t="s">
        <v>33</v>
      </c>
      <c r="H28" t="str">
        <f t="shared" si="1"/>
        <v>-</v>
      </c>
    </row>
    <row r="29" spans="1:13" x14ac:dyDescent="0.3">
      <c r="A29" s="5">
        <v>0.73958333333333381</v>
      </c>
      <c r="B29" t="str">
        <f t="shared" si="0"/>
        <v>-</v>
      </c>
      <c r="C29" s="8" t="s">
        <v>18</v>
      </c>
      <c r="D29" s="9"/>
      <c r="E29" s="10" t="s">
        <v>2</v>
      </c>
      <c r="F29" s="9"/>
      <c r="G29" s="17" t="s">
        <v>32</v>
      </c>
      <c r="H29" t="str">
        <f t="shared" si="1"/>
        <v>-</v>
      </c>
    </row>
    <row r="30" spans="1:13" x14ac:dyDescent="0.3">
      <c r="A30" s="5">
        <v>0.75694444444444497</v>
      </c>
      <c r="B30" t="str">
        <f t="shared" si="0"/>
        <v>-</v>
      </c>
      <c r="C30" s="8" t="s">
        <v>27</v>
      </c>
      <c r="D30" s="9"/>
      <c r="E30" s="10" t="s">
        <v>2</v>
      </c>
      <c r="F30" s="9"/>
      <c r="G30" s="17" t="s">
        <v>23</v>
      </c>
      <c r="H30" t="str">
        <f t="shared" si="1"/>
        <v>-</v>
      </c>
    </row>
    <row r="31" spans="1:13" x14ac:dyDescent="0.3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3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3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tão2_Click">
                <anchor moveWithCells="1" sizeWithCells="1">
                  <from>
                    <xdr:col>8</xdr:col>
                    <xdr:colOff>251460</xdr:colOff>
                    <xdr:row>10</xdr:row>
                    <xdr:rowOff>22860</xdr:rowOff>
                  </from>
                  <to>
                    <xdr:col>11</xdr:col>
                    <xdr:colOff>60960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otão3_Click">
                <anchor moveWithCells="1" sizeWithCells="1">
                  <from>
                    <xdr:col>8</xdr:col>
                    <xdr:colOff>121920</xdr:colOff>
                    <xdr:row>2</xdr:row>
                    <xdr:rowOff>121920</xdr:rowOff>
                  </from>
                  <to>
                    <xdr:col>11</xdr:col>
                    <xdr:colOff>182880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O39"/>
  <sheetViews>
    <sheetView workbookViewId="0">
      <selection activeCell="C3" sqref="C3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5" max="15" width="31.33203125" bestFit="1" customWidth="1"/>
  </cols>
  <sheetData>
    <row r="1" spans="1:15" s="4" customFormat="1" ht="18" x14ac:dyDescent="0.3">
      <c r="C1" s="21" t="s">
        <v>12</v>
      </c>
      <c r="D1" s="21"/>
      <c r="E1" s="21"/>
      <c r="F1" s="21"/>
      <c r="G1" s="21"/>
      <c r="H1" s="21"/>
      <c r="I1" s="21"/>
      <c r="J1" s="21"/>
      <c r="K1" s="22"/>
    </row>
    <row r="2" spans="1:15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24</v>
      </c>
    </row>
    <row r="3" spans="1:15" s="4" customFormat="1" x14ac:dyDescent="0.3">
      <c r="C3" s="4" t="s">
        <v>24</v>
      </c>
      <c r="D3" s="4">
        <f>F3*3+G3</f>
        <v>0</v>
      </c>
      <c r="E3" s="4">
        <f>SUM(F3:H3)</f>
        <v>0</v>
      </c>
      <c r="F3" s="4">
        <f>COUNTIF($B$13,"V")+COUNTIF($J$17,"V")+COUNTIF($J$9,"V")</f>
        <v>0</v>
      </c>
      <c r="G3" s="4">
        <f>COUNTIF($B$13,"E")+COUNTIF($J$17,"E")+COUNTIF($J$9,"E")</f>
        <v>0</v>
      </c>
      <c r="H3" s="4">
        <f>COUNTIF($B$13,"D")+COUNTIF($J$9,"D")+COUNTIF($J$17,"D")</f>
        <v>0</v>
      </c>
      <c r="I3" s="4">
        <f>$D$13+$F$9+$F$17</f>
        <v>0</v>
      </c>
      <c r="J3" s="4">
        <f>$D$9+$F$13+$D$17</f>
        <v>0</v>
      </c>
      <c r="K3" s="4">
        <f>I3-J3</f>
        <v>0</v>
      </c>
      <c r="O3" s="8" t="s">
        <v>17</v>
      </c>
    </row>
    <row r="4" spans="1:15" s="4" customFormat="1" x14ac:dyDescent="0.3">
      <c r="C4" s="4" t="s">
        <v>31</v>
      </c>
      <c r="D4" s="4">
        <f>F4*3+G4</f>
        <v>0</v>
      </c>
      <c r="E4" s="4">
        <f>SUM(F4:H4)</f>
        <v>0</v>
      </c>
      <c r="F4" s="4">
        <f>COUNTIF($B$9,"V")+COUNTIF($J$29,"V")+COUNTIF($B$33,"V")</f>
        <v>0</v>
      </c>
      <c r="G4" s="4">
        <f>COUNTIF($B$9,"E")+COUNTIF($B$33,"E")+COUNTIF($J$29,"E")</f>
        <v>0</v>
      </c>
      <c r="H4" s="4">
        <f>COUNTIF($B$9,"D")+COUNTIF($B$33,"D")+COUNTIF($J$29,"D")</f>
        <v>0</v>
      </c>
      <c r="I4" s="4">
        <f>D9+F29+D33</f>
        <v>0</v>
      </c>
      <c r="J4" s="4">
        <f>F9+D29+F33</f>
        <v>0</v>
      </c>
      <c r="K4" s="4">
        <f>I4-J4</f>
        <v>0</v>
      </c>
      <c r="O4" s="13" t="s">
        <v>20</v>
      </c>
    </row>
    <row r="5" spans="1:15" s="4" customFormat="1" x14ac:dyDescent="0.3">
      <c r="C5" s="4" t="s">
        <v>20</v>
      </c>
      <c r="D5" s="4">
        <f>F5*3+G5</f>
        <v>0</v>
      </c>
      <c r="E5" s="4">
        <f>SUM(F5:H5)</f>
        <v>0</v>
      </c>
      <c r="F5" s="4">
        <f>COUNTIF($B$29,"V")+COUNTIF($B$17,"V")+COUNTIF($J$11,"V")</f>
        <v>0</v>
      </c>
      <c r="G5" s="4">
        <f>COUNTIF($B$17,"E")+COUNTIF($B$29,"E")+COUNTIF($J$11,"E")</f>
        <v>0</v>
      </c>
      <c r="H5" s="4">
        <f>COUNTIF($B$17,"D")+COUNTIF($B$29,"D")+COUNTIF($J$11,"D")</f>
        <v>0</v>
      </c>
      <c r="I5" s="4">
        <f>F11+D29+D17</f>
        <v>0</v>
      </c>
      <c r="J5" s="4">
        <f>D11+F29+F17</f>
        <v>0</v>
      </c>
      <c r="K5" s="4">
        <f>I5-J5</f>
        <v>0</v>
      </c>
      <c r="O5" s="12" t="s">
        <v>1</v>
      </c>
    </row>
    <row r="6" spans="1:15" s="4" customFormat="1" x14ac:dyDescent="0.3">
      <c r="C6" s="4" t="s">
        <v>1</v>
      </c>
      <c r="D6" s="4">
        <f>F6*3+G6</f>
        <v>0</v>
      </c>
      <c r="E6" s="4">
        <f>SUM(F6:H6)</f>
        <v>0</v>
      </c>
      <c r="F6" s="4">
        <f>COUNTIF($B$11,"V")+COUNTIF($J$33,"V")+COUNTIF($J$13,"V")</f>
        <v>0</v>
      </c>
      <c r="G6" s="4">
        <f>COUNTIF($B$11,"E")+COUNTIF($J$33,"E")+COUNTIF($J$13,"E")</f>
        <v>0</v>
      </c>
      <c r="H6" s="4">
        <f>COUNTIF($B$11,"D")+COUNTIF($J$13,"D")+COUNTIF($J$33,"D")</f>
        <v>0</v>
      </c>
      <c r="I6" s="4">
        <f>D11+F13+F33</f>
        <v>0</v>
      </c>
      <c r="J6" s="4">
        <f>F11+D13+D33</f>
        <v>0</v>
      </c>
      <c r="K6" s="4">
        <f>I6-J6</f>
        <v>0</v>
      </c>
    </row>
    <row r="9" spans="1:15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3" t="s">
        <v>0</v>
      </c>
      <c r="H9" s="24"/>
      <c r="I9" s="24"/>
      <c r="J9" t="str">
        <f>IF(F9="","-",IF(F9=D9,"E",IF(F9&gt;D9,"V","D")))</f>
        <v>-</v>
      </c>
    </row>
    <row r="10" spans="1:15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3" t="s">
        <v>19</v>
      </c>
      <c r="H10" s="24"/>
      <c r="I10" s="24"/>
      <c r="J10" t="str">
        <f t="shared" ref="J10:J36" si="1">IF(F10="","-",IF(F10=D10,"E",IF(F10&gt;D10,"V","D")))</f>
        <v>-</v>
      </c>
    </row>
    <row r="11" spans="1:15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15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15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15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15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15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3" t="s">
        <v>24</v>
      </c>
      <c r="H17" s="24"/>
      <c r="I17" s="24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3" t="s">
        <v>28</v>
      </c>
      <c r="H18" s="24"/>
      <c r="I18" s="24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3" t="s">
        <v>19</v>
      </c>
      <c r="H19" s="24"/>
      <c r="I19" s="24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3" t="s">
        <v>15</v>
      </c>
      <c r="H20" s="24"/>
      <c r="I20" s="24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3" t="s">
        <v>28</v>
      </c>
      <c r="H25" s="24"/>
      <c r="I25" s="24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3" t="s">
        <v>15</v>
      </c>
      <c r="H26" s="24"/>
      <c r="I26" s="24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31" t="s">
        <v>17</v>
      </c>
      <c r="H29" s="32"/>
      <c r="I29" s="32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31" t="s">
        <v>26</v>
      </c>
      <c r="H30" s="32"/>
      <c r="I30" s="32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31" t="s">
        <v>18</v>
      </c>
      <c r="H31" s="32"/>
      <c r="I31" s="32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31" t="s">
        <v>27</v>
      </c>
      <c r="H32" s="32"/>
      <c r="I32" s="32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3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29"/>
      <c r="H37" s="30"/>
      <c r="I37" s="30"/>
      <c r="J37" t="str">
        <f t="shared" ref="J37:J39" si="3">IF(F37="","-",IF(F37=D37,"E",IF(F37&gt;D37,"V","D")))</f>
        <v>-</v>
      </c>
    </row>
    <row r="38" spans="1:10" x14ac:dyDescent="0.3">
      <c r="A38" s="5"/>
      <c r="B38" t="str">
        <f t="shared" si="2"/>
        <v>-</v>
      </c>
      <c r="C38" s="1"/>
      <c r="D38" s="2"/>
      <c r="E38" s="3"/>
      <c r="F38" s="2"/>
      <c r="G38" s="29"/>
      <c r="H38" s="30"/>
      <c r="I38" s="30"/>
      <c r="J38" t="str">
        <f t="shared" si="3"/>
        <v>-</v>
      </c>
    </row>
    <row r="39" spans="1:10" x14ac:dyDescent="0.3">
      <c r="A39" s="5"/>
      <c r="B39" t="str">
        <f t="shared" si="2"/>
        <v>-</v>
      </c>
      <c r="C39" s="1"/>
      <c r="D39" s="2"/>
      <c r="E39" s="3"/>
      <c r="F39" s="2"/>
      <c r="G39" s="29"/>
      <c r="H39" s="30"/>
      <c r="I39" s="30"/>
      <c r="J39" t="str">
        <f t="shared" si="3"/>
        <v>-</v>
      </c>
    </row>
  </sheetData>
  <mergeCells count="28">
    <mergeCell ref="G39:I39"/>
    <mergeCell ref="G31:I31"/>
    <mergeCell ref="G32:I32"/>
    <mergeCell ref="G33:I33"/>
    <mergeCell ref="G34:I34"/>
    <mergeCell ref="G35:I35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P39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8.6640625" bestFit="1" customWidth="1"/>
  </cols>
  <sheetData>
    <row r="1" spans="1:16" s="4" customFormat="1" ht="18" x14ac:dyDescent="0.3">
      <c r="C1" s="21" t="s">
        <v>13</v>
      </c>
      <c r="D1" s="21"/>
      <c r="E1" s="21"/>
      <c r="F1" s="21"/>
      <c r="G1" s="21"/>
      <c r="H1" s="21"/>
      <c r="I1" s="21"/>
      <c r="J1" s="21"/>
      <c r="K1" s="22"/>
    </row>
    <row r="2" spans="1:16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26</v>
      </c>
    </row>
    <row r="3" spans="1:16" s="4" customFormat="1" x14ac:dyDescent="0.3">
      <c r="C3" s="4" t="s">
        <v>26</v>
      </c>
      <c r="D3" s="4">
        <f>F3*3+G3</f>
        <v>0</v>
      </c>
      <c r="E3" s="4">
        <f>SUM(F3:H3)</f>
        <v>0</v>
      </c>
      <c r="F3" s="4">
        <f>COUNTIF($B$25,"V")+COUNTIF($B$34,"V")+COUNTIF($J$30,"V")</f>
        <v>0</v>
      </c>
      <c r="G3" s="4">
        <f>COUNTIF($B$25,"E")+COUNTIF($J$30,"E")+COUNTIF($B$34,"E")</f>
        <v>0</v>
      </c>
      <c r="H3" s="4">
        <f>COUNTIF($B$25,"D")+COUNTIF($J$30,"D")+COUNTIF($B$34,"D")</f>
        <v>0</v>
      </c>
      <c r="I3" s="4">
        <f>D25+F30+D34</f>
        <v>0</v>
      </c>
      <c r="J3" s="4">
        <f>F25+D30+F34</f>
        <v>0</v>
      </c>
      <c r="K3" s="4">
        <f>I3-J3</f>
        <v>0</v>
      </c>
      <c r="P3" s="13" t="s">
        <v>29</v>
      </c>
    </row>
    <row r="4" spans="1:16" s="4" customFormat="1" x14ac:dyDescent="0.3">
      <c r="C4" s="4" t="s">
        <v>29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D18+D30+F27</f>
        <v>0</v>
      </c>
      <c r="J4" s="4">
        <f>F18+F30+D27</f>
        <v>0</v>
      </c>
      <c r="K4" s="4">
        <f>I4-J4</f>
        <v>0</v>
      </c>
      <c r="P4" s="12" t="s">
        <v>22</v>
      </c>
    </row>
    <row r="5" spans="1:16" s="4" customFormat="1" x14ac:dyDescent="0.3">
      <c r="C5" s="4" t="s">
        <v>33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F14+D27+F34</f>
        <v>0</v>
      </c>
      <c r="J5" s="4">
        <f>D14+F27+D34</f>
        <v>0</v>
      </c>
      <c r="K5" s="4">
        <f>I5-J5</f>
        <v>0</v>
      </c>
      <c r="P5" s="11" t="s">
        <v>28</v>
      </c>
    </row>
    <row r="6" spans="1:16" s="4" customFormat="1" x14ac:dyDescent="0.3">
      <c r="C6" s="4" t="s">
        <v>28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$D$14+$F$25+$F$18</f>
        <v>0</v>
      </c>
      <c r="J6" s="4">
        <f>$D$25+$D$18+$F$14</f>
        <v>0</v>
      </c>
      <c r="K6" s="4">
        <f>I6-J6</f>
        <v>0</v>
      </c>
    </row>
    <row r="9" spans="1:16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3" t="s">
        <v>0</v>
      </c>
      <c r="H9" s="24"/>
      <c r="I9" s="24"/>
      <c r="J9" t="str">
        <f>IF(F9="","-",IF(F9=D9,"E",IF(F9&gt;D9,"V","D")))</f>
        <v>-</v>
      </c>
    </row>
    <row r="10" spans="1:16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3" t="s">
        <v>19</v>
      </c>
      <c r="H10" s="24"/>
      <c r="I10" s="24"/>
      <c r="J10" t="str">
        <f t="shared" ref="J10:J36" si="1">IF(F10="","-",IF(F10=D10,"E",IF(F10&gt;D10,"V","D")))</f>
        <v>-</v>
      </c>
    </row>
    <row r="11" spans="1:16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16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16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16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16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16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3" t="s">
        <v>24</v>
      </c>
      <c r="H17" s="24"/>
      <c r="I17" s="24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3" t="s">
        <v>28</v>
      </c>
      <c r="H18" s="24"/>
      <c r="I18" s="24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3" t="s">
        <v>19</v>
      </c>
      <c r="H19" s="24"/>
      <c r="I19" s="24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3" t="s">
        <v>15</v>
      </c>
      <c r="H20" s="24"/>
      <c r="I20" s="24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3" t="s">
        <v>28</v>
      </c>
      <c r="H25" s="24"/>
      <c r="I25" s="24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3" t="s">
        <v>15</v>
      </c>
      <c r="H26" s="24"/>
      <c r="I26" s="24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31" t="s">
        <v>17</v>
      </c>
      <c r="H29" s="32"/>
      <c r="I29" s="32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31" t="s">
        <v>26</v>
      </c>
      <c r="H30" s="32"/>
      <c r="I30" s="32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31" t="s">
        <v>18</v>
      </c>
      <c r="H31" s="32"/>
      <c r="I31" s="32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31" t="s">
        <v>27</v>
      </c>
      <c r="H32" s="32"/>
      <c r="I32" s="32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3">
      <c r="A37" s="5"/>
      <c r="C37" s="1"/>
      <c r="D37" s="2"/>
      <c r="E37" s="3"/>
      <c r="F37" s="2"/>
      <c r="G37" s="29"/>
      <c r="H37" s="30"/>
      <c r="I37" s="30"/>
    </row>
    <row r="38" spans="1:10" x14ac:dyDescent="0.3">
      <c r="A38" s="5"/>
      <c r="C38" s="1"/>
      <c r="D38" s="2"/>
      <c r="E38" s="3"/>
      <c r="F38" s="2"/>
      <c r="G38" s="29"/>
      <c r="H38" s="30"/>
      <c r="I38" s="30"/>
    </row>
    <row r="39" spans="1:10" x14ac:dyDescent="0.3">
      <c r="A39" s="5"/>
      <c r="C39" s="1"/>
      <c r="D39" s="2"/>
      <c r="E39" s="3"/>
      <c r="F39" s="2"/>
      <c r="G39" s="29"/>
      <c r="H39" s="30"/>
      <c r="I39" s="30"/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U39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31" bestFit="1" customWidth="1"/>
    <col min="21" max="21" width="28.44140625" bestFit="1" customWidth="1"/>
  </cols>
  <sheetData>
    <row r="1" spans="1:21" s="4" customFormat="1" ht="18" x14ac:dyDescent="0.3">
      <c r="C1" s="21" t="s">
        <v>16</v>
      </c>
      <c r="D1" s="21"/>
      <c r="E1" s="21"/>
      <c r="F1" s="21"/>
      <c r="G1" s="21"/>
      <c r="H1" s="21"/>
      <c r="I1" s="21"/>
      <c r="J1" s="21"/>
      <c r="K1" s="22"/>
    </row>
    <row r="2" spans="1:21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18</v>
      </c>
      <c r="U2" s="11" t="s">
        <v>24</v>
      </c>
    </row>
    <row r="3" spans="1:21" s="4" customFormat="1" x14ac:dyDescent="0.3">
      <c r="C3" s="4" t="s">
        <v>19</v>
      </c>
      <c r="D3" s="4">
        <f>F3*3+G3</f>
        <v>0</v>
      </c>
      <c r="E3" s="4">
        <f>SUM(F3:H3)</f>
        <v>0</v>
      </c>
      <c r="F3" s="4">
        <f>COUNTIF($B$15,"V")+COUNTIF($J$10,"V")+COUNTIF($J$19,"V")</f>
        <v>0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F18+D14+F9</f>
        <v>0</v>
      </c>
      <c r="J3" s="4">
        <f>D9+D18+F14</f>
        <v>0</v>
      </c>
      <c r="K3" s="4">
        <f>I3-J3</f>
        <v>0</v>
      </c>
      <c r="P3" s="11" t="s">
        <v>19</v>
      </c>
      <c r="U3" s="8" t="s">
        <v>17</v>
      </c>
    </row>
    <row r="4" spans="1:21" s="4" customFormat="1" x14ac:dyDescent="0.3">
      <c r="C4" s="4" t="s">
        <v>18</v>
      </c>
      <c r="D4" s="4">
        <f>F4*3+G4</f>
        <v>0</v>
      </c>
      <c r="E4" s="4">
        <f>SUM(F4:H4)</f>
        <v>0</v>
      </c>
      <c r="F4" s="4">
        <f>COUNTIF($B$10,"V")+COUNTIF($B$35,"V")+COUNTIF($J$31,"V")</f>
        <v>0</v>
      </c>
      <c r="G4" s="4">
        <f>COUNTIF($B$10,"E")+COUNTIF($J$31,"E")+COUNTIF($B$35,"E")</f>
        <v>0</v>
      </c>
      <c r="H4" s="4">
        <f>COUNTIF($B$10,"D")+COUNTIF($J$31,"D")+COUNTIF($B$35,"D")</f>
        <v>0</v>
      </c>
      <c r="I4" s="4">
        <f>$D$10+$D$35+$F$31</f>
        <v>0</v>
      </c>
      <c r="J4" s="4">
        <f>F11+D32+F36</f>
        <v>0</v>
      </c>
      <c r="K4" s="4">
        <f>I4-J4</f>
        <v>0</v>
      </c>
      <c r="P4" s="12" t="s">
        <v>14</v>
      </c>
      <c r="U4" s="13" t="s">
        <v>20</v>
      </c>
    </row>
    <row r="5" spans="1:21" s="4" customFormat="1" x14ac:dyDescent="0.3">
      <c r="C5" s="4" t="s">
        <v>32</v>
      </c>
      <c r="D5" s="4">
        <f>F5*3+G5</f>
        <v>0</v>
      </c>
      <c r="E5" s="4">
        <f>SUM(F5:H5)</f>
        <v>0</v>
      </c>
      <c r="F5" s="4">
        <f>COUNTIF($J$35,"V")+COUNTIF($B$12,"V")+COUNTIF($J$15,"V")</f>
        <v>0</v>
      </c>
      <c r="G5" s="4">
        <f>COUNTIF($J$35,"E")+COUNTIF($B$12,"E")+COUNTIF($J$15,"E")</f>
        <v>0</v>
      </c>
      <c r="H5" s="4">
        <f>COUNTIF($B$12,"D")+COUNTIF($J$35,"D")+COUNTIF($J$15,"D")</f>
        <v>0</v>
      </c>
      <c r="I5" s="4">
        <f>D12+F15+F35</f>
        <v>0</v>
      </c>
      <c r="J5" s="4">
        <f>D15+D35+F12</f>
        <v>0</v>
      </c>
      <c r="K5" s="4">
        <f>I5-J5</f>
        <v>0</v>
      </c>
      <c r="P5" s="13" t="s">
        <v>21</v>
      </c>
      <c r="U5" s="12" t="s">
        <v>1</v>
      </c>
    </row>
    <row r="6" spans="1:21" s="4" customFormat="1" x14ac:dyDescent="0.3">
      <c r="C6" s="4" t="s">
        <v>21</v>
      </c>
      <c r="D6" s="4">
        <f>F6*3+G6</f>
        <v>0</v>
      </c>
      <c r="E6" s="4">
        <f>SUM(F6:H6)</f>
        <v>0</v>
      </c>
      <c r="F6" s="4">
        <f>COUNTIF($B$19,"V")+COUNTIF($B$31,"V")+COUNTIF($J$12,"V")</f>
        <v>0</v>
      </c>
      <c r="G6" s="4">
        <f>COUNTIF($B$31,"E")+COUNTIF($B$19,"E")+COUNTIF($J$12,"E")</f>
        <v>0</v>
      </c>
      <c r="H6" s="4">
        <f>COUNTIF($B$19,"D")+COUNTIF($J$12,"D")+COUNTIF($B$31,"D")</f>
        <v>0</v>
      </c>
      <c r="I6" s="4">
        <f>D19+F12+D31</f>
        <v>0</v>
      </c>
      <c r="J6" s="4">
        <f>$F$31+$F$19+$D$12</f>
        <v>0</v>
      </c>
      <c r="K6" s="4">
        <f>I6-J6</f>
        <v>0</v>
      </c>
    </row>
    <row r="9" spans="1:21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3" t="s">
        <v>0</v>
      </c>
      <c r="H9" s="24"/>
      <c r="I9" s="24"/>
      <c r="J9" t="str">
        <f>IF(F9="","-",IF(F9=D9,"E",IF(F9&gt;D9,"V","D")))</f>
        <v>-</v>
      </c>
    </row>
    <row r="10" spans="1:21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3" t="s">
        <v>19</v>
      </c>
      <c r="H10" s="24"/>
      <c r="I10" s="24"/>
      <c r="J10" t="str">
        <f t="shared" ref="J10:J36" si="1">IF(F10="","-",IF(F10=D10,"E",IF(F10&gt;D10,"V","D")))</f>
        <v>-</v>
      </c>
    </row>
    <row r="11" spans="1:21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21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21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21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21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21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3" t="s">
        <v>24</v>
      </c>
      <c r="H17" s="24"/>
      <c r="I17" s="24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3" t="s">
        <v>28</v>
      </c>
      <c r="H18" s="24"/>
      <c r="I18" s="24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3" t="s">
        <v>19</v>
      </c>
      <c r="H19" s="24"/>
      <c r="I19" s="24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3" t="s">
        <v>15</v>
      </c>
      <c r="H20" s="24"/>
      <c r="I20" s="24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3" t="s">
        <v>28</v>
      </c>
      <c r="H25" s="24"/>
      <c r="I25" s="24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3" t="s">
        <v>15</v>
      </c>
      <c r="H26" s="24"/>
      <c r="I26" s="24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31" t="s">
        <v>17</v>
      </c>
      <c r="H29" s="32"/>
      <c r="I29" s="32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31" t="s">
        <v>26</v>
      </c>
      <c r="H30" s="32"/>
      <c r="I30" s="32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31" t="s">
        <v>18</v>
      </c>
      <c r="H31" s="32"/>
      <c r="I31" s="32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31" t="s">
        <v>27</v>
      </c>
      <c r="H32" s="32"/>
      <c r="I32" s="32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3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29"/>
      <c r="H37" s="30"/>
      <c r="I37" s="30"/>
      <c r="J37" t="str">
        <f t="shared" ref="J37:J39" si="3">IF(F37="","-",IF(F37=D37,"E",IF(F37&gt;D37,"V","D")))</f>
        <v>-</v>
      </c>
    </row>
    <row r="38" spans="1:10" x14ac:dyDescent="0.3">
      <c r="A38" s="5">
        <v>0.63194444444444464</v>
      </c>
      <c r="B38" t="str">
        <f t="shared" si="2"/>
        <v>-</v>
      </c>
      <c r="C38" s="1"/>
      <c r="D38" s="2"/>
      <c r="E38" s="3"/>
      <c r="F38" s="2"/>
      <c r="G38" s="29"/>
      <c r="H38" s="30"/>
      <c r="I38" s="30"/>
      <c r="J38" t="str">
        <f t="shared" si="3"/>
        <v>-</v>
      </c>
    </row>
    <row r="39" spans="1:10" x14ac:dyDescent="0.3">
      <c r="A39" s="5">
        <v>0.6493055555555558</v>
      </c>
      <c r="B39" t="str">
        <f t="shared" si="2"/>
        <v>-</v>
      </c>
      <c r="C39" s="1"/>
      <c r="D39" s="2"/>
      <c r="E39" s="3"/>
      <c r="F39" s="2"/>
      <c r="G39" s="29"/>
      <c r="H39" s="30"/>
      <c r="I39" s="30"/>
      <c r="J39" t="str">
        <f t="shared" si="3"/>
        <v>-</v>
      </c>
    </row>
  </sheetData>
  <mergeCells count="28"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31:I31"/>
    <mergeCell ref="G20:I20"/>
    <mergeCell ref="G25:I25"/>
    <mergeCell ref="G26:I26"/>
    <mergeCell ref="G27:I27"/>
    <mergeCell ref="G28:I28"/>
    <mergeCell ref="G29:I29"/>
    <mergeCell ref="G30:I30"/>
    <mergeCell ref="G38:I38"/>
    <mergeCell ref="G39:I39"/>
    <mergeCell ref="G32:I32"/>
    <mergeCell ref="G33:I33"/>
    <mergeCell ref="G34:I34"/>
    <mergeCell ref="G35:I35"/>
    <mergeCell ref="G36:I36"/>
    <mergeCell ref="G37:I37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T39"/>
  <sheetViews>
    <sheetView workbookViewId="0">
      <selection activeCell="C7" sqref="C7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9.6640625" bestFit="1" customWidth="1"/>
    <col min="20" max="20" width="28.44140625" bestFit="1" customWidth="1"/>
  </cols>
  <sheetData>
    <row r="1" spans="1:20" s="4" customFormat="1" ht="18" x14ac:dyDescent="0.3">
      <c r="C1" s="21" t="s">
        <v>16</v>
      </c>
      <c r="D1" s="21"/>
      <c r="E1" s="21"/>
      <c r="F1" s="21"/>
      <c r="G1" s="21"/>
      <c r="H1" s="21"/>
      <c r="I1" s="21"/>
      <c r="J1" s="21"/>
      <c r="K1" s="22"/>
    </row>
    <row r="2" spans="1:20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27</v>
      </c>
      <c r="T2" s="11" t="s">
        <v>24</v>
      </c>
    </row>
    <row r="3" spans="1:20" s="4" customFormat="1" x14ac:dyDescent="0.3">
      <c r="C3" s="4" t="s">
        <v>27</v>
      </c>
      <c r="D3" s="4">
        <f>F3*3+G3</f>
        <v>0</v>
      </c>
      <c r="E3" s="4">
        <f>SUM(F3:H3)</f>
        <v>0</v>
      </c>
      <c r="F3" s="4">
        <f>COUNTIF($B$26,"V")+COUNTIF($B$36,"V")+COUNTIF($J$32,"V")</f>
        <v>0</v>
      </c>
      <c r="G3" s="4">
        <f>COUNTIF($B$26,"E")+COUNTIF($J$32,"E")+COUNTIF($B$36,"E")</f>
        <v>0</v>
      </c>
      <c r="H3" s="4">
        <f>COUNTIF($B$26,"D")+COUNTIF($J$32,"D")+COUNTIF($B$36,"D")</f>
        <v>0</v>
      </c>
      <c r="I3" s="4">
        <f>$D$26+$F$32+$D$36</f>
        <v>0</v>
      </c>
      <c r="J3" s="4">
        <f>$F$36+$D$32+$F$26</f>
        <v>0</v>
      </c>
      <c r="K3" s="4">
        <f>I3-J3</f>
        <v>0</v>
      </c>
      <c r="P3" s="11" t="s">
        <v>15</v>
      </c>
      <c r="T3" s="8" t="s">
        <v>17</v>
      </c>
    </row>
    <row r="4" spans="1:20" s="4" customFormat="1" x14ac:dyDescent="0.3">
      <c r="C4" s="4" t="s">
        <v>15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$D$26+$F$32+$D$36</f>
        <v>0</v>
      </c>
      <c r="J4" s="4">
        <f>$F$36+$D$32+$F$26</f>
        <v>0</v>
      </c>
      <c r="K4" s="4">
        <f>I4-J4</f>
        <v>0</v>
      </c>
      <c r="P4" s="12" t="s">
        <v>23</v>
      </c>
      <c r="T4" s="13" t="s">
        <v>20</v>
      </c>
    </row>
    <row r="5" spans="1:20" s="4" customFormat="1" x14ac:dyDescent="0.3">
      <c r="C5" s="4" t="s">
        <v>23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$D$26+$F$32+$D$36</f>
        <v>0</v>
      </c>
      <c r="J5" s="4">
        <f>$F$36+$D$32+$F$26</f>
        <v>0</v>
      </c>
      <c r="K5" s="4">
        <f>I5-J5</f>
        <v>0</v>
      </c>
      <c r="P5" s="13" t="s">
        <v>25</v>
      </c>
      <c r="T5" s="12" t="s">
        <v>1</v>
      </c>
    </row>
    <row r="6" spans="1:20" s="4" customFormat="1" x14ac:dyDescent="0.3">
      <c r="C6" s="4" t="s">
        <v>34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$D$26+$F$32+$D$36</f>
        <v>0</v>
      </c>
      <c r="J6" s="4">
        <f>$F$36+$D$32+$F$26</f>
        <v>0</v>
      </c>
      <c r="K6" s="4">
        <f>I6-J6</f>
        <v>0</v>
      </c>
    </row>
    <row r="9" spans="1:20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3" t="s">
        <v>0</v>
      </c>
      <c r="H9" s="24"/>
      <c r="I9" s="24"/>
      <c r="J9" t="str">
        <f>IF(F9="","-",IF(F9=D9,"E",IF(F9&gt;D9,"V","D")))</f>
        <v>-</v>
      </c>
    </row>
    <row r="10" spans="1:20" x14ac:dyDescent="0.3">
      <c r="A10" s="5">
        <v>0.3923611111111111</v>
      </c>
      <c r="B10" t="str">
        <f t="shared" ref="B10:B39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3" t="s">
        <v>19</v>
      </c>
      <c r="H10" s="24"/>
      <c r="I10" s="24"/>
      <c r="J10" t="str">
        <f t="shared" ref="J10:J39" si="1">IF(F10="","-",IF(F10=D10,"E",IF(F10&gt;D10,"V","D")))</f>
        <v>-</v>
      </c>
    </row>
    <row r="11" spans="1:20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20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20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5" t="s">
        <v>1</v>
      </c>
      <c r="H13" s="26"/>
      <c r="I13" s="26"/>
      <c r="J13" t="str">
        <f t="shared" si="1"/>
        <v>-</v>
      </c>
    </row>
    <row r="14" spans="1:20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5" t="s">
        <v>22</v>
      </c>
      <c r="H14" s="26"/>
      <c r="I14" s="26"/>
      <c r="J14" t="str">
        <f t="shared" si="1"/>
        <v>-</v>
      </c>
    </row>
    <row r="15" spans="1:20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5" t="s">
        <v>14</v>
      </c>
      <c r="H15" s="26"/>
      <c r="I15" s="26"/>
      <c r="J15" t="str">
        <f t="shared" si="1"/>
        <v>-</v>
      </c>
    </row>
    <row r="16" spans="1:20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5" t="s">
        <v>23</v>
      </c>
      <c r="H16" s="26"/>
      <c r="I16" s="26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3" t="s">
        <v>24</v>
      </c>
      <c r="H17" s="24"/>
      <c r="I17" s="24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3" t="s">
        <v>28</v>
      </c>
      <c r="H18" s="24"/>
      <c r="I18" s="24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3" t="s">
        <v>19</v>
      </c>
      <c r="H19" s="24"/>
      <c r="I19" s="24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3" t="s">
        <v>15</v>
      </c>
      <c r="H20" s="24"/>
      <c r="I20" s="24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3" t="s">
        <v>28</v>
      </c>
      <c r="H25" s="24"/>
      <c r="I25" s="24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3" t="s">
        <v>15</v>
      </c>
      <c r="H26" s="24"/>
      <c r="I26" s="24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31" t="s">
        <v>17</v>
      </c>
      <c r="H29" s="32"/>
      <c r="I29" s="32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31" t="s">
        <v>26</v>
      </c>
      <c r="H30" s="32"/>
      <c r="I30" s="32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31" t="s">
        <v>18</v>
      </c>
      <c r="H31" s="32"/>
      <c r="I31" s="32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31" t="s">
        <v>27</v>
      </c>
      <c r="H32" s="32"/>
      <c r="I32" s="32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5" t="s">
        <v>1</v>
      </c>
      <c r="H33" s="26"/>
      <c r="I33" s="26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5" t="s">
        <v>22</v>
      </c>
      <c r="H34" s="26"/>
      <c r="I34" s="26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5" t="s">
        <v>14</v>
      </c>
      <c r="H35" s="26"/>
      <c r="I35" s="26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5" t="s">
        <v>23</v>
      </c>
      <c r="H36" s="26"/>
      <c r="I36" s="26"/>
      <c r="J36" t="str">
        <f t="shared" si="1"/>
        <v>-</v>
      </c>
    </row>
    <row r="37" spans="1:10" x14ac:dyDescent="0.3">
      <c r="A37" s="5">
        <v>0.61458333333333348</v>
      </c>
      <c r="B37" t="str">
        <f t="shared" si="0"/>
        <v>-</v>
      </c>
      <c r="C37" s="1"/>
      <c r="D37" s="2"/>
      <c r="E37" s="3"/>
      <c r="F37" s="2"/>
      <c r="G37" s="29"/>
      <c r="H37" s="30"/>
      <c r="I37" s="30"/>
      <c r="J37" t="str">
        <f t="shared" si="1"/>
        <v>-</v>
      </c>
    </row>
    <row r="38" spans="1:10" x14ac:dyDescent="0.3">
      <c r="A38" s="5">
        <v>0.63194444444444464</v>
      </c>
      <c r="B38" t="str">
        <f t="shared" si="0"/>
        <v>-</v>
      </c>
      <c r="C38" s="1"/>
      <c r="D38" s="2"/>
      <c r="E38" s="3"/>
      <c r="F38" s="2"/>
      <c r="G38" s="29"/>
      <c r="H38" s="30"/>
      <c r="I38" s="30"/>
      <c r="J38" t="str">
        <f t="shared" si="1"/>
        <v>-</v>
      </c>
    </row>
    <row r="39" spans="1:10" x14ac:dyDescent="0.3">
      <c r="A39" s="5">
        <v>0.6493055555555558</v>
      </c>
      <c r="B39" t="str">
        <f t="shared" si="0"/>
        <v>-</v>
      </c>
      <c r="C39" s="1"/>
      <c r="D39" s="2"/>
      <c r="E39" s="3"/>
      <c r="F39" s="2"/>
      <c r="G39" s="29"/>
      <c r="H39" s="30"/>
      <c r="I39" s="30"/>
      <c r="J39" t="str">
        <f t="shared" si="1"/>
        <v>-</v>
      </c>
    </row>
  </sheetData>
  <mergeCells count="28">
    <mergeCell ref="G13:I13"/>
    <mergeCell ref="C1:K1"/>
    <mergeCell ref="G9:I9"/>
    <mergeCell ref="G10:I10"/>
    <mergeCell ref="G11:I11"/>
    <mergeCell ref="G12:I12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Resultados</vt:lpstr>
      <vt:lpstr>U13_A</vt:lpstr>
      <vt:lpstr>U13_B</vt:lpstr>
      <vt:lpstr>U13_C</vt:lpstr>
      <vt:lpstr>U13_D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2023-06-16T23:21:51Z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